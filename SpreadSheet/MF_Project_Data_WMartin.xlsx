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9e63eb92aad63e8d/Documents/"/>
    </mc:Choice>
  </mc:AlternateContent>
  <xr:revisionPtr revIDLastSave="618" documentId="8_{9CE4EC7F-001E-4D69-9289-7ABD92AE6C7C}" xr6:coauthVersionLast="47" xr6:coauthVersionMax="47" xr10:uidLastSave="{AE9D51ED-933B-4A5E-97C0-D50EC00E13B2}"/>
  <bookViews>
    <workbookView xWindow="-120" yWindow="-120" windowWidth="29040" windowHeight="15720" firstSheet="8" activeTab="13" xr2:uid="{00000000-000D-0000-FFFF-FFFF00000000}"/>
  </bookViews>
  <sheets>
    <sheet name="Fund 1" sheetId="1" r:id="rId1"/>
    <sheet name="Fund 2" sheetId="2" r:id="rId2"/>
    <sheet name="Fund3" sheetId="3" r:id="rId3"/>
    <sheet name="Fama-French Data" sheetId="4" r:id="rId4"/>
    <sheet name="MF Data " sheetId="5" r:id="rId5"/>
    <sheet name="Alphas+Ratios" sheetId="13" r:id="rId6"/>
    <sheet name="Stock Data" sheetId="12" r:id="rId7"/>
    <sheet name="MF Stocks" sheetId="14" r:id="rId8"/>
    <sheet name="Investment" sheetId="11" r:id="rId9"/>
    <sheet name="Sharpe+Treynor Ratio" sheetId="10" r:id="rId10"/>
    <sheet name="Alphas 1998-2013" sheetId="6" r:id="rId11"/>
    <sheet name="Alphas 1998-2006 " sheetId="7" r:id="rId12"/>
    <sheet name="Alphas 2007-2013" sheetId="9" r:id="rId13"/>
    <sheet name="Dashboard"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kT1zAeYzIrl1KDki52pKZYk/Bt6YtLIbQTvIP7ZONrU="/>
    </ext>
  </extLst>
</workbook>
</file>

<file path=xl/calcChain.xml><?xml version="1.0" encoding="utf-8"?>
<calcChain xmlns="http://schemas.openxmlformats.org/spreadsheetml/2006/main">
  <c r="I2" i="13" l="1"/>
  <c r="J2" i="13"/>
  <c r="L2" i="13"/>
  <c r="I3" i="13"/>
  <c r="I4" i="13"/>
  <c r="J4" i="13"/>
  <c r="L4" i="13"/>
  <c r="I5" i="13"/>
  <c r="J5" i="13"/>
  <c r="K5" i="13"/>
  <c r="L5" i="13"/>
  <c r="I6" i="13"/>
  <c r="I7" i="13"/>
  <c r="I8" i="13"/>
  <c r="I9" i="13"/>
  <c r="J9" i="13"/>
  <c r="K9" i="13"/>
  <c r="L9" i="13"/>
  <c r="I10" i="13"/>
  <c r="J10" i="13"/>
  <c r="K10" i="13"/>
  <c r="L10" i="13"/>
  <c r="M4" i="5"/>
  <c r="M5" i="5" s="1"/>
  <c r="N4" i="5"/>
  <c r="N5" i="5" s="1"/>
  <c r="O4" i="5"/>
  <c r="O5" i="5"/>
  <c r="M6" i="5"/>
  <c r="N6" i="5"/>
  <c r="O6" i="5"/>
  <c r="O7" i="5" s="1"/>
  <c r="M7" i="5"/>
  <c r="M8" i="5" s="1"/>
  <c r="N7" i="5"/>
  <c r="N8" i="5"/>
  <c r="N9" i="5" s="1"/>
  <c r="N10" i="5" s="1"/>
  <c r="N11" i="5" s="1"/>
  <c r="N12" i="5" s="1"/>
  <c r="O8" i="5"/>
  <c r="M9" i="5"/>
  <c r="O9" i="5"/>
  <c r="O10" i="5" s="1"/>
  <c r="O11" i="5" s="1"/>
  <c r="O12" i="5" s="1"/>
  <c r="O13" i="5" s="1"/>
  <c r="O14" i="5" s="1"/>
  <c r="O15" i="5" s="1"/>
  <c r="O16" i="5" s="1"/>
  <c r="O17" i="5" s="1"/>
  <c r="O18" i="5" s="1"/>
  <c r="O19" i="5" s="1"/>
  <c r="O20" i="5" s="1"/>
  <c r="O21" i="5" s="1"/>
  <c r="O22" i="5" s="1"/>
  <c r="O23" i="5" s="1"/>
  <c r="O24" i="5" s="1"/>
  <c r="O25" i="5" s="1"/>
  <c r="O26" i="5" s="1"/>
  <c r="O27" i="5" s="1"/>
  <c r="O28" i="5" s="1"/>
  <c r="O29" i="5" s="1"/>
  <c r="O30" i="5" s="1"/>
  <c r="O31" i="5" s="1"/>
  <c r="O32" i="5" s="1"/>
  <c r="O33" i="5" s="1"/>
  <c r="O34" i="5" s="1"/>
  <c r="O35" i="5" s="1"/>
  <c r="O36" i="5" s="1"/>
  <c r="O37" i="5" s="1"/>
  <c r="O38" i="5" s="1"/>
  <c r="O39" i="5" s="1"/>
  <c r="O40" i="5" s="1"/>
  <c r="O41" i="5" s="1"/>
  <c r="O42" i="5" s="1"/>
  <c r="O43" i="5" s="1"/>
  <c r="O44" i="5" s="1"/>
  <c r="O45" i="5" s="1"/>
  <c r="O46" i="5" s="1"/>
  <c r="O47" i="5" s="1"/>
  <c r="O48" i="5" s="1"/>
  <c r="O49" i="5" s="1"/>
  <c r="O50" i="5" s="1"/>
  <c r="O51" i="5" s="1"/>
  <c r="O52" i="5" s="1"/>
  <c r="O53" i="5" s="1"/>
  <c r="O54" i="5" s="1"/>
  <c r="O55" i="5" s="1"/>
  <c r="O56" i="5" s="1"/>
  <c r="O57" i="5" s="1"/>
  <c r="O58" i="5" s="1"/>
  <c r="O59" i="5" s="1"/>
  <c r="O60" i="5" s="1"/>
  <c r="O61" i="5" s="1"/>
  <c r="O62" i="5" s="1"/>
  <c r="O63" i="5" s="1"/>
  <c r="O64" i="5" s="1"/>
  <c r="O65" i="5" s="1"/>
  <c r="O66" i="5" s="1"/>
  <c r="O67" i="5" s="1"/>
  <c r="O68" i="5" s="1"/>
  <c r="O69" i="5" s="1"/>
  <c r="O70" i="5" s="1"/>
  <c r="O71" i="5" s="1"/>
  <c r="O72" i="5" s="1"/>
  <c r="O73" i="5" s="1"/>
  <c r="O74" i="5" s="1"/>
  <c r="O75" i="5" s="1"/>
  <c r="O76" i="5" s="1"/>
  <c r="O77" i="5" s="1"/>
  <c r="O78" i="5" s="1"/>
  <c r="O79" i="5" s="1"/>
  <c r="O80" i="5" s="1"/>
  <c r="O81" i="5" s="1"/>
  <c r="O82" i="5" s="1"/>
  <c r="O83" i="5" s="1"/>
  <c r="O84" i="5" s="1"/>
  <c r="O85" i="5" s="1"/>
  <c r="O86" i="5" s="1"/>
  <c r="O87" i="5" s="1"/>
  <c r="O88" i="5" s="1"/>
  <c r="O89" i="5" s="1"/>
  <c r="O90" i="5" s="1"/>
  <c r="O91" i="5" s="1"/>
  <c r="O92" i="5" s="1"/>
  <c r="O93" i="5" s="1"/>
  <c r="O94" i="5" s="1"/>
  <c r="O95" i="5" s="1"/>
  <c r="O96" i="5" s="1"/>
  <c r="O97" i="5" s="1"/>
  <c r="O98" i="5" s="1"/>
  <c r="O99" i="5" s="1"/>
  <c r="O100" i="5" s="1"/>
  <c r="O101" i="5" s="1"/>
  <c r="O102" i="5" s="1"/>
  <c r="O103" i="5" s="1"/>
  <c r="O104" i="5" s="1"/>
  <c r="O105" i="5" s="1"/>
  <c r="O106" i="5" s="1"/>
  <c r="O107" i="5" s="1"/>
  <c r="O108" i="5" s="1"/>
  <c r="O109" i="5" s="1"/>
  <c r="O110" i="5" s="1"/>
  <c r="O111" i="5" s="1"/>
  <c r="O112" i="5" s="1"/>
  <c r="O113" i="5" s="1"/>
  <c r="O114" i="5" s="1"/>
  <c r="O115" i="5" s="1"/>
  <c r="O116" i="5" s="1"/>
  <c r="O117" i="5" s="1"/>
  <c r="O118" i="5" s="1"/>
  <c r="O119" i="5" s="1"/>
  <c r="O120" i="5" s="1"/>
  <c r="O121" i="5" s="1"/>
  <c r="O122" i="5" s="1"/>
  <c r="O123" i="5" s="1"/>
  <c r="O124" i="5" s="1"/>
  <c r="O125" i="5" s="1"/>
  <c r="O126" i="5" s="1"/>
  <c r="O127" i="5" s="1"/>
  <c r="O128" i="5" s="1"/>
  <c r="O129" i="5" s="1"/>
  <c r="O130" i="5" s="1"/>
  <c r="O131" i="5" s="1"/>
  <c r="O132" i="5" s="1"/>
  <c r="O133" i="5" s="1"/>
  <c r="O134" i="5" s="1"/>
  <c r="O135" i="5" s="1"/>
  <c r="O136" i="5" s="1"/>
  <c r="O137" i="5" s="1"/>
  <c r="O138" i="5" s="1"/>
  <c r="O139" i="5" s="1"/>
  <c r="O140" i="5" s="1"/>
  <c r="O141" i="5" s="1"/>
  <c r="O142" i="5" s="1"/>
  <c r="O143" i="5" s="1"/>
  <c r="O144" i="5" s="1"/>
  <c r="O145" i="5" s="1"/>
  <c r="O146" i="5" s="1"/>
  <c r="O147" i="5" s="1"/>
  <c r="O148" i="5" s="1"/>
  <c r="O149" i="5" s="1"/>
  <c r="O150" i="5" s="1"/>
  <c r="O151" i="5" s="1"/>
  <c r="O152" i="5" s="1"/>
  <c r="O153" i="5" s="1"/>
  <c r="O154" i="5" s="1"/>
  <c r="O155" i="5" s="1"/>
  <c r="O156" i="5" s="1"/>
  <c r="O157" i="5" s="1"/>
  <c r="O158" i="5" s="1"/>
  <c r="O159" i="5" s="1"/>
  <c r="O160" i="5" s="1"/>
  <c r="O161" i="5" s="1"/>
  <c r="O162" i="5" s="1"/>
  <c r="O163" i="5" s="1"/>
  <c r="O164" i="5" s="1"/>
  <c r="O165" i="5" s="1"/>
  <c r="O166" i="5" s="1"/>
  <c r="O167" i="5" s="1"/>
  <c r="O168" i="5" s="1"/>
  <c r="O169" i="5" s="1"/>
  <c r="O170" i="5" s="1"/>
  <c r="O171" i="5" s="1"/>
  <c r="O172" i="5" s="1"/>
  <c r="O173" i="5" s="1"/>
  <c r="O174" i="5" s="1"/>
  <c r="O175" i="5" s="1"/>
  <c r="O176" i="5" s="1"/>
  <c r="O177" i="5" s="1"/>
  <c r="O178" i="5" s="1"/>
  <c r="O179" i="5" s="1"/>
  <c r="O180" i="5" s="1"/>
  <c r="O181" i="5" s="1"/>
  <c r="O182" i="5" s="1"/>
  <c r="O183" i="5" s="1"/>
  <c r="O184" i="5" s="1"/>
  <c r="O185" i="5" s="1"/>
  <c r="O186" i="5" s="1"/>
  <c r="O187" i="5" s="1"/>
  <c r="O188" i="5" s="1"/>
  <c r="O189" i="5" s="1"/>
  <c r="O190" i="5" s="1"/>
  <c r="O191" i="5" s="1"/>
  <c r="O192" i="5" s="1"/>
  <c r="O193" i="5" s="1"/>
  <c r="O194" i="5" s="1"/>
  <c r="O195" i="5" s="1"/>
  <c r="O196" i="5" s="1"/>
  <c r="O197" i="5" s="1"/>
  <c r="O198" i="5" s="1"/>
  <c r="O199" i="5" s="1"/>
  <c r="O200" i="5" s="1"/>
  <c r="O201" i="5" s="1"/>
  <c r="O202" i="5" s="1"/>
  <c r="O203" i="5" s="1"/>
  <c r="O204" i="5" s="1"/>
  <c r="O205" i="5" s="1"/>
  <c r="O206" i="5" s="1"/>
  <c r="O207" i="5" s="1"/>
  <c r="O208" i="5" s="1"/>
  <c r="O209" i="5" s="1"/>
  <c r="O210" i="5" s="1"/>
  <c r="O211" i="5" s="1"/>
  <c r="O212" i="5" s="1"/>
  <c r="O213" i="5" s="1"/>
  <c r="O214" i="5" s="1"/>
  <c r="O215" i="5" s="1"/>
  <c r="O216" i="5" s="1"/>
  <c r="O217" i="5" s="1"/>
  <c r="O218" i="5" s="1"/>
  <c r="O219" i="5" s="1"/>
  <c r="O220" i="5" s="1"/>
  <c r="O221" i="5" s="1"/>
  <c r="O222" i="5" s="1"/>
  <c r="O223" i="5" s="1"/>
  <c r="O224" i="5" s="1"/>
  <c r="O225" i="5" s="1"/>
  <c r="O226" i="5" s="1"/>
  <c r="O227" i="5" s="1"/>
  <c r="O228" i="5" s="1"/>
  <c r="O229" i="5" s="1"/>
  <c r="O230" i="5" s="1"/>
  <c r="O231" i="5" s="1"/>
  <c r="O232" i="5" s="1"/>
  <c r="O233" i="5" s="1"/>
  <c r="O234" i="5" s="1"/>
  <c r="O235" i="5" s="1"/>
  <c r="O236" i="5" s="1"/>
  <c r="O237" i="5" s="1"/>
  <c r="O238" i="5" s="1"/>
  <c r="O239" i="5" s="1"/>
  <c r="O240" i="5" s="1"/>
  <c r="O241" i="5" s="1"/>
  <c r="O242" i="5" s="1"/>
  <c r="O243" i="5" s="1"/>
  <c r="O244" i="5" s="1"/>
  <c r="O245" i="5" s="1"/>
  <c r="O246" i="5" s="1"/>
  <c r="O247" i="5" s="1"/>
  <c r="O248" i="5" s="1"/>
  <c r="O249" i="5" s="1"/>
  <c r="O250" i="5" s="1"/>
  <c r="O251" i="5" s="1"/>
  <c r="O252" i="5" s="1"/>
  <c r="O253" i="5" s="1"/>
  <c r="O254" i="5" s="1"/>
  <c r="O255" i="5" s="1"/>
  <c r="O256" i="5" s="1"/>
  <c r="O257" i="5" s="1"/>
  <c r="O258" i="5" s="1"/>
  <c r="O259" i="5" s="1"/>
  <c r="O260" i="5" s="1"/>
  <c r="O261" i="5" s="1"/>
  <c r="O262" i="5" s="1"/>
  <c r="O263" i="5" s="1"/>
  <c r="O264" i="5" s="1"/>
  <c r="O265" i="5" s="1"/>
  <c r="O266" i="5" s="1"/>
  <c r="O267" i="5" s="1"/>
  <c r="O268" i="5" s="1"/>
  <c r="O269" i="5" s="1"/>
  <c r="O270" i="5" s="1"/>
  <c r="O271" i="5" s="1"/>
  <c r="O272" i="5" s="1"/>
  <c r="O273" i="5" s="1"/>
  <c r="O274" i="5" s="1"/>
  <c r="O275" i="5" s="1"/>
  <c r="O276" i="5" s="1"/>
  <c r="O277" i="5" s="1"/>
  <c r="O278" i="5" s="1"/>
  <c r="O279" i="5" s="1"/>
  <c r="O280" i="5" s="1"/>
  <c r="O281" i="5" s="1"/>
  <c r="O282" i="5" s="1"/>
  <c r="O283" i="5" s="1"/>
  <c r="O284" i="5" s="1"/>
  <c r="O285" i="5" s="1"/>
  <c r="O286" i="5" s="1"/>
  <c r="O287" i="5" s="1"/>
  <c r="O288" i="5" s="1"/>
  <c r="O289" i="5" s="1"/>
  <c r="O290" i="5" s="1"/>
  <c r="O291" i="5" s="1"/>
  <c r="O292" i="5" s="1"/>
  <c r="O293" i="5" s="1"/>
  <c r="O294" i="5" s="1"/>
  <c r="O295" i="5" s="1"/>
  <c r="O296" i="5" s="1"/>
  <c r="O297" i="5" s="1"/>
  <c r="O298" i="5" s="1"/>
  <c r="O299" i="5" s="1"/>
  <c r="O300" i="5" s="1"/>
  <c r="O301" i="5" s="1"/>
  <c r="O302" i="5" s="1"/>
  <c r="O303" i="5" s="1"/>
  <c r="O304" i="5" s="1"/>
  <c r="O305" i="5" s="1"/>
  <c r="O306" i="5" s="1"/>
  <c r="O307" i="5" s="1"/>
  <c r="O308" i="5" s="1"/>
  <c r="O309" i="5" s="1"/>
  <c r="O310" i="5" s="1"/>
  <c r="O311" i="5" s="1"/>
  <c r="O312" i="5" s="1"/>
  <c r="O313" i="5" s="1"/>
  <c r="O314" i="5" s="1"/>
  <c r="O315" i="5" s="1"/>
  <c r="O316" i="5" s="1"/>
  <c r="O317" i="5" s="1"/>
  <c r="O318" i="5" s="1"/>
  <c r="O319" i="5" s="1"/>
  <c r="O320" i="5" s="1"/>
  <c r="O321" i="5" s="1"/>
  <c r="O322" i="5" s="1"/>
  <c r="O323" i="5" s="1"/>
  <c r="O324" i="5" s="1"/>
  <c r="O325" i="5" s="1"/>
  <c r="M10" i="5"/>
  <c r="M11" i="5" s="1"/>
  <c r="M12" i="5" s="1"/>
  <c r="M13" i="5"/>
  <c r="M14" i="5" s="1"/>
  <c r="M15" i="5" s="1"/>
  <c r="M16" i="5" s="1"/>
  <c r="M17" i="5" s="1"/>
  <c r="M18" i="5" s="1"/>
  <c r="M19" i="5" s="1"/>
  <c r="M20" i="5" s="1"/>
  <c r="M21" i="5" s="1"/>
  <c r="M22" i="5" s="1"/>
  <c r="M23" i="5" s="1"/>
  <c r="M24" i="5" s="1"/>
  <c r="M25" i="5" s="1"/>
  <c r="M26" i="5" s="1"/>
  <c r="M27" i="5" s="1"/>
  <c r="M28" i="5" s="1"/>
  <c r="M29" i="5" s="1"/>
  <c r="M30" i="5" s="1"/>
  <c r="M31" i="5" s="1"/>
  <c r="M32" i="5" s="1"/>
  <c r="M33" i="5" s="1"/>
  <c r="M34" i="5" s="1"/>
  <c r="M35" i="5" s="1"/>
  <c r="M36" i="5" s="1"/>
  <c r="M37" i="5" s="1"/>
  <c r="M38" i="5" s="1"/>
  <c r="M39" i="5" s="1"/>
  <c r="M40" i="5" s="1"/>
  <c r="M41" i="5" s="1"/>
  <c r="M42" i="5" s="1"/>
  <c r="M43" i="5" s="1"/>
  <c r="M44" i="5" s="1"/>
  <c r="M45" i="5" s="1"/>
  <c r="M46" i="5" s="1"/>
  <c r="M47" i="5" s="1"/>
  <c r="M48" i="5" s="1"/>
  <c r="M49" i="5" s="1"/>
  <c r="M50" i="5" s="1"/>
  <c r="M51" i="5" s="1"/>
  <c r="M52" i="5" s="1"/>
  <c r="M53" i="5" s="1"/>
  <c r="M54" i="5" s="1"/>
  <c r="M55" i="5" s="1"/>
  <c r="M56" i="5" s="1"/>
  <c r="M57" i="5" s="1"/>
  <c r="M58" i="5" s="1"/>
  <c r="M59" i="5" s="1"/>
  <c r="M60" i="5" s="1"/>
  <c r="M61" i="5" s="1"/>
  <c r="M62" i="5" s="1"/>
  <c r="M63" i="5" s="1"/>
  <c r="M64" i="5" s="1"/>
  <c r="M65" i="5" s="1"/>
  <c r="M66" i="5" s="1"/>
  <c r="M67" i="5" s="1"/>
  <c r="M68" i="5" s="1"/>
  <c r="M69" i="5" s="1"/>
  <c r="M70" i="5" s="1"/>
  <c r="M71" i="5" s="1"/>
  <c r="M72" i="5" s="1"/>
  <c r="M73" i="5" s="1"/>
  <c r="M74" i="5" s="1"/>
  <c r="M75" i="5" s="1"/>
  <c r="M76" i="5" s="1"/>
  <c r="M77" i="5" s="1"/>
  <c r="M78" i="5" s="1"/>
  <c r="M79" i="5" s="1"/>
  <c r="M80" i="5" s="1"/>
  <c r="M81" i="5" s="1"/>
  <c r="M82" i="5" s="1"/>
  <c r="M83" i="5" s="1"/>
  <c r="M84" i="5" s="1"/>
  <c r="M85" i="5" s="1"/>
  <c r="M86" i="5" s="1"/>
  <c r="M87" i="5" s="1"/>
  <c r="M88" i="5" s="1"/>
  <c r="M89" i="5" s="1"/>
  <c r="M90" i="5" s="1"/>
  <c r="M91" i="5" s="1"/>
  <c r="M92" i="5" s="1"/>
  <c r="M93" i="5" s="1"/>
  <c r="M94" i="5" s="1"/>
  <c r="M95" i="5" s="1"/>
  <c r="M96" i="5" s="1"/>
  <c r="M97" i="5" s="1"/>
  <c r="M98" i="5" s="1"/>
  <c r="M99" i="5" s="1"/>
  <c r="M100" i="5" s="1"/>
  <c r="M101" i="5" s="1"/>
  <c r="M102" i="5" s="1"/>
  <c r="M103" i="5" s="1"/>
  <c r="M104" i="5" s="1"/>
  <c r="M105" i="5" s="1"/>
  <c r="M106" i="5" s="1"/>
  <c r="M107" i="5" s="1"/>
  <c r="M108" i="5" s="1"/>
  <c r="M109" i="5" s="1"/>
  <c r="M110" i="5" s="1"/>
  <c r="M111" i="5" s="1"/>
  <c r="M112" i="5" s="1"/>
  <c r="M113" i="5" s="1"/>
  <c r="M114" i="5" s="1"/>
  <c r="M115" i="5" s="1"/>
  <c r="M116" i="5" s="1"/>
  <c r="M117" i="5" s="1"/>
  <c r="M118" i="5" s="1"/>
  <c r="M119" i="5" s="1"/>
  <c r="M120" i="5" s="1"/>
  <c r="M121" i="5" s="1"/>
  <c r="M122" i="5" s="1"/>
  <c r="M123" i="5" s="1"/>
  <c r="M124" i="5" s="1"/>
  <c r="M125" i="5" s="1"/>
  <c r="M126" i="5" s="1"/>
  <c r="M127" i="5" s="1"/>
  <c r="M128" i="5" s="1"/>
  <c r="M129" i="5" s="1"/>
  <c r="M130" i="5" s="1"/>
  <c r="M131" i="5" s="1"/>
  <c r="M132" i="5" s="1"/>
  <c r="M133" i="5" s="1"/>
  <c r="M134" i="5" s="1"/>
  <c r="M135" i="5" s="1"/>
  <c r="M136" i="5" s="1"/>
  <c r="M137" i="5" s="1"/>
  <c r="M138" i="5" s="1"/>
  <c r="M139" i="5" s="1"/>
  <c r="M140" i="5" s="1"/>
  <c r="M141" i="5" s="1"/>
  <c r="M142" i="5" s="1"/>
  <c r="M143" i="5" s="1"/>
  <c r="M144" i="5" s="1"/>
  <c r="M145" i="5" s="1"/>
  <c r="M146" i="5" s="1"/>
  <c r="M147" i="5" s="1"/>
  <c r="M148" i="5" s="1"/>
  <c r="M149" i="5" s="1"/>
  <c r="M150" i="5" s="1"/>
  <c r="M151" i="5" s="1"/>
  <c r="M152" i="5" s="1"/>
  <c r="M153" i="5" s="1"/>
  <c r="M154" i="5" s="1"/>
  <c r="M155" i="5" s="1"/>
  <c r="M156" i="5" s="1"/>
  <c r="M157" i="5" s="1"/>
  <c r="M158" i="5" s="1"/>
  <c r="M159" i="5" s="1"/>
  <c r="M160" i="5" s="1"/>
  <c r="M161" i="5" s="1"/>
  <c r="M162" i="5" s="1"/>
  <c r="M163" i="5" s="1"/>
  <c r="M164" i="5" s="1"/>
  <c r="M165" i="5" s="1"/>
  <c r="M166" i="5" s="1"/>
  <c r="M167" i="5" s="1"/>
  <c r="M168" i="5" s="1"/>
  <c r="M169" i="5" s="1"/>
  <c r="M170" i="5" s="1"/>
  <c r="M171" i="5" s="1"/>
  <c r="M172" i="5" s="1"/>
  <c r="M173" i="5" s="1"/>
  <c r="M174" i="5" s="1"/>
  <c r="M175" i="5" s="1"/>
  <c r="M176" i="5" s="1"/>
  <c r="M177" i="5" s="1"/>
  <c r="M178" i="5" s="1"/>
  <c r="M179" i="5" s="1"/>
  <c r="M180" i="5" s="1"/>
  <c r="M181" i="5" s="1"/>
  <c r="M182" i="5" s="1"/>
  <c r="M183" i="5" s="1"/>
  <c r="M184" i="5" s="1"/>
  <c r="M185" i="5" s="1"/>
  <c r="M186" i="5" s="1"/>
  <c r="M187" i="5" s="1"/>
  <c r="M188" i="5" s="1"/>
  <c r="M189" i="5" s="1"/>
  <c r="M190" i="5" s="1"/>
  <c r="M191" i="5" s="1"/>
  <c r="M192" i="5" s="1"/>
  <c r="M193" i="5" s="1"/>
  <c r="M194" i="5" s="1"/>
  <c r="M195" i="5" s="1"/>
  <c r="M196" i="5" s="1"/>
  <c r="M197" i="5" s="1"/>
  <c r="M198" i="5" s="1"/>
  <c r="M199" i="5" s="1"/>
  <c r="M200" i="5" s="1"/>
  <c r="M201" i="5" s="1"/>
  <c r="M202" i="5" s="1"/>
  <c r="M203" i="5" s="1"/>
  <c r="M204" i="5" s="1"/>
  <c r="M205" i="5" s="1"/>
  <c r="M206" i="5" s="1"/>
  <c r="M207" i="5" s="1"/>
  <c r="M208" i="5" s="1"/>
  <c r="M209" i="5" s="1"/>
  <c r="M210" i="5" s="1"/>
  <c r="M211" i="5" s="1"/>
  <c r="M212" i="5" s="1"/>
  <c r="M213" i="5" s="1"/>
  <c r="M214" i="5" s="1"/>
  <c r="M215" i="5" s="1"/>
  <c r="M216" i="5" s="1"/>
  <c r="M217" i="5" s="1"/>
  <c r="M218" i="5" s="1"/>
  <c r="M219" i="5" s="1"/>
  <c r="M220" i="5" s="1"/>
  <c r="M221" i="5" s="1"/>
  <c r="M222" i="5" s="1"/>
  <c r="M223" i="5" s="1"/>
  <c r="M224" i="5" s="1"/>
  <c r="M225" i="5" s="1"/>
  <c r="M226" i="5" s="1"/>
  <c r="M227" i="5" s="1"/>
  <c r="M228" i="5" s="1"/>
  <c r="M229" i="5" s="1"/>
  <c r="M230" i="5" s="1"/>
  <c r="M231" i="5" s="1"/>
  <c r="M232" i="5" s="1"/>
  <c r="M233" i="5" s="1"/>
  <c r="M234" i="5" s="1"/>
  <c r="M235" i="5" s="1"/>
  <c r="M236" i="5" s="1"/>
  <c r="M237" i="5" s="1"/>
  <c r="M238" i="5" s="1"/>
  <c r="M239" i="5" s="1"/>
  <c r="M240" i="5" s="1"/>
  <c r="M241" i="5" s="1"/>
  <c r="M242" i="5" s="1"/>
  <c r="M243" i="5" s="1"/>
  <c r="M244" i="5" s="1"/>
  <c r="M245" i="5" s="1"/>
  <c r="M246" i="5" s="1"/>
  <c r="M247" i="5" s="1"/>
  <c r="M248" i="5" s="1"/>
  <c r="M249" i="5" s="1"/>
  <c r="M250" i="5" s="1"/>
  <c r="M251" i="5" s="1"/>
  <c r="M252" i="5" s="1"/>
  <c r="M253" i="5" s="1"/>
  <c r="M254" i="5" s="1"/>
  <c r="M255" i="5" s="1"/>
  <c r="M256" i="5" s="1"/>
  <c r="M257" i="5" s="1"/>
  <c r="M258" i="5" s="1"/>
  <c r="M259" i="5" s="1"/>
  <c r="M260" i="5" s="1"/>
  <c r="M261" i="5" s="1"/>
  <c r="M262" i="5" s="1"/>
  <c r="M263" i="5" s="1"/>
  <c r="M264" i="5" s="1"/>
  <c r="M265" i="5" s="1"/>
  <c r="M266" i="5" s="1"/>
  <c r="M267" i="5" s="1"/>
  <c r="M268" i="5" s="1"/>
  <c r="M269" i="5" s="1"/>
  <c r="M270" i="5" s="1"/>
  <c r="M271" i="5" s="1"/>
  <c r="M272" i="5" s="1"/>
  <c r="M273" i="5" s="1"/>
  <c r="M274" i="5" s="1"/>
  <c r="M275" i="5" s="1"/>
  <c r="M276" i="5" s="1"/>
  <c r="M277" i="5" s="1"/>
  <c r="M278" i="5" s="1"/>
  <c r="M279" i="5" s="1"/>
  <c r="M280" i="5" s="1"/>
  <c r="M281" i="5" s="1"/>
  <c r="M282" i="5" s="1"/>
  <c r="M283" i="5" s="1"/>
  <c r="M284" i="5" s="1"/>
  <c r="M285" i="5" s="1"/>
  <c r="M286" i="5" s="1"/>
  <c r="M287" i="5" s="1"/>
  <c r="M288" i="5" s="1"/>
  <c r="M289" i="5" s="1"/>
  <c r="M290" i="5" s="1"/>
  <c r="M291" i="5" s="1"/>
  <c r="M292" i="5" s="1"/>
  <c r="M293" i="5" s="1"/>
  <c r="M294" i="5" s="1"/>
  <c r="M295" i="5" s="1"/>
  <c r="M296" i="5" s="1"/>
  <c r="M297" i="5" s="1"/>
  <c r="M298" i="5" s="1"/>
  <c r="M299" i="5" s="1"/>
  <c r="M300" i="5" s="1"/>
  <c r="M301" i="5" s="1"/>
  <c r="M302" i="5" s="1"/>
  <c r="M303" i="5" s="1"/>
  <c r="M304" i="5" s="1"/>
  <c r="M305" i="5" s="1"/>
  <c r="M306" i="5" s="1"/>
  <c r="M307" i="5" s="1"/>
  <c r="M308" i="5" s="1"/>
  <c r="M309" i="5" s="1"/>
  <c r="M310" i="5" s="1"/>
  <c r="M311" i="5" s="1"/>
  <c r="M312" i="5" s="1"/>
  <c r="M313" i="5" s="1"/>
  <c r="M314" i="5" s="1"/>
  <c r="M315" i="5" s="1"/>
  <c r="M316" i="5" s="1"/>
  <c r="M317" i="5" s="1"/>
  <c r="M318" i="5" s="1"/>
  <c r="M319" i="5" s="1"/>
  <c r="M320" i="5" s="1"/>
  <c r="M321" i="5" s="1"/>
  <c r="M322" i="5" s="1"/>
  <c r="M323" i="5" s="1"/>
  <c r="M324" i="5" s="1"/>
  <c r="M325" i="5" s="1"/>
  <c r="N13" i="5"/>
  <c r="N14" i="5" s="1"/>
  <c r="N15" i="5" s="1"/>
  <c r="N16" i="5" s="1"/>
  <c r="N17" i="5" s="1"/>
  <c r="N18" i="5" s="1"/>
  <c r="N19" i="5" s="1"/>
  <c r="N20" i="5" s="1"/>
  <c r="N21" i="5" s="1"/>
  <c r="N22" i="5" s="1"/>
  <c r="N23" i="5" s="1"/>
  <c r="N24" i="5" s="1"/>
  <c r="N25" i="5" s="1"/>
  <c r="N26" i="5" s="1"/>
  <c r="N27" i="5" s="1"/>
  <c r="N28" i="5" s="1"/>
  <c r="N29" i="5" s="1"/>
  <c r="N30" i="5" s="1"/>
  <c r="N31" i="5" s="1"/>
  <c r="N32" i="5" s="1"/>
  <c r="N33" i="5" s="1"/>
  <c r="N34" i="5" s="1"/>
  <c r="N35" i="5" s="1"/>
  <c r="N36" i="5" s="1"/>
  <c r="N37" i="5" s="1"/>
  <c r="N38" i="5" s="1"/>
  <c r="N39" i="5" s="1"/>
  <c r="N40" i="5" s="1"/>
  <c r="N41" i="5" s="1"/>
  <c r="N42" i="5" s="1"/>
  <c r="N43" i="5" s="1"/>
  <c r="N44" i="5" s="1"/>
  <c r="N45" i="5" s="1"/>
  <c r="N46" i="5" s="1"/>
  <c r="N47" i="5" s="1"/>
  <c r="N48" i="5" s="1"/>
  <c r="N49" i="5" s="1"/>
  <c r="N50" i="5" s="1"/>
  <c r="N51" i="5" s="1"/>
  <c r="N52" i="5" s="1"/>
  <c r="N53" i="5" s="1"/>
  <c r="N54" i="5" s="1"/>
  <c r="N55" i="5" s="1"/>
  <c r="N56" i="5" s="1"/>
  <c r="N57" i="5" s="1"/>
  <c r="N58" i="5" s="1"/>
  <c r="N59" i="5" s="1"/>
  <c r="N60" i="5" s="1"/>
  <c r="N61" i="5" s="1"/>
  <c r="N62" i="5" s="1"/>
  <c r="N63" i="5" s="1"/>
  <c r="N64" i="5" s="1"/>
  <c r="N65" i="5" s="1"/>
  <c r="N66" i="5" s="1"/>
  <c r="N67" i="5" s="1"/>
  <c r="N68" i="5" s="1"/>
  <c r="N69" i="5" s="1"/>
  <c r="N70" i="5" s="1"/>
  <c r="N71" i="5" s="1"/>
  <c r="N72" i="5" s="1"/>
  <c r="N73" i="5" s="1"/>
  <c r="N74" i="5" s="1"/>
  <c r="N75" i="5" s="1"/>
  <c r="N76" i="5" s="1"/>
  <c r="N77" i="5" s="1"/>
  <c r="N78" i="5" s="1"/>
  <c r="N79" i="5" s="1"/>
  <c r="N80" i="5" s="1"/>
  <c r="N81" i="5" s="1"/>
  <c r="N82" i="5" s="1"/>
  <c r="N83" i="5" s="1"/>
  <c r="N84" i="5" s="1"/>
  <c r="N85" i="5" s="1"/>
  <c r="N86" i="5" s="1"/>
  <c r="N87" i="5" s="1"/>
  <c r="N88" i="5" s="1"/>
  <c r="N89" i="5" s="1"/>
  <c r="N90" i="5" s="1"/>
  <c r="N91" i="5" s="1"/>
  <c r="N92" i="5" s="1"/>
  <c r="N93" i="5" s="1"/>
  <c r="N94" i="5" s="1"/>
  <c r="N95" i="5" s="1"/>
  <c r="N96" i="5" s="1"/>
  <c r="N97" i="5" s="1"/>
  <c r="N98" i="5" s="1"/>
  <c r="N99" i="5" s="1"/>
  <c r="N100" i="5" s="1"/>
  <c r="N101" i="5" s="1"/>
  <c r="N102" i="5" s="1"/>
  <c r="N103" i="5" s="1"/>
  <c r="N104" i="5" s="1"/>
  <c r="N105" i="5" s="1"/>
  <c r="N106" i="5" s="1"/>
  <c r="N107" i="5" s="1"/>
  <c r="N108" i="5" s="1"/>
  <c r="N109" i="5" s="1"/>
  <c r="N110" i="5" s="1"/>
  <c r="N111" i="5" s="1"/>
  <c r="N112" i="5" s="1"/>
  <c r="N113" i="5" s="1"/>
  <c r="N114" i="5" s="1"/>
  <c r="N115" i="5" s="1"/>
  <c r="N116" i="5" s="1"/>
  <c r="N117" i="5" s="1"/>
  <c r="N118" i="5" s="1"/>
  <c r="N119" i="5" s="1"/>
  <c r="N120" i="5" s="1"/>
  <c r="N121" i="5" s="1"/>
  <c r="N122" i="5" s="1"/>
  <c r="N123" i="5" s="1"/>
  <c r="N124" i="5" s="1"/>
  <c r="N125" i="5" s="1"/>
  <c r="N126" i="5" s="1"/>
  <c r="N127" i="5" s="1"/>
  <c r="N128" i="5" s="1"/>
  <c r="N129" i="5" s="1"/>
  <c r="N130" i="5" s="1"/>
  <c r="N131" i="5" s="1"/>
  <c r="N132" i="5" s="1"/>
  <c r="N133" i="5" s="1"/>
  <c r="N134" i="5" s="1"/>
  <c r="N135" i="5" s="1"/>
  <c r="N136" i="5" s="1"/>
  <c r="N137" i="5" s="1"/>
  <c r="N138" i="5" s="1"/>
  <c r="N139" i="5" s="1"/>
  <c r="N140" i="5" s="1"/>
  <c r="N141" i="5" s="1"/>
  <c r="N142" i="5" s="1"/>
  <c r="N143" i="5" s="1"/>
  <c r="N144" i="5" s="1"/>
  <c r="N145" i="5" s="1"/>
  <c r="N146" i="5" s="1"/>
  <c r="N147" i="5" s="1"/>
  <c r="N148" i="5" s="1"/>
  <c r="N149" i="5" s="1"/>
  <c r="N150" i="5" s="1"/>
  <c r="N151" i="5" s="1"/>
  <c r="N152" i="5" s="1"/>
  <c r="N153" i="5" s="1"/>
  <c r="N154" i="5" s="1"/>
  <c r="N155" i="5" s="1"/>
  <c r="N156" i="5" s="1"/>
  <c r="N157" i="5" s="1"/>
  <c r="N158" i="5" s="1"/>
  <c r="N159" i="5" s="1"/>
  <c r="N160" i="5" s="1"/>
  <c r="N161" i="5" s="1"/>
  <c r="N162" i="5" s="1"/>
  <c r="N163" i="5" s="1"/>
  <c r="N164" i="5" s="1"/>
  <c r="N165" i="5" s="1"/>
  <c r="N166" i="5" s="1"/>
  <c r="N167" i="5" s="1"/>
  <c r="N168" i="5" s="1"/>
  <c r="N169" i="5" s="1"/>
  <c r="N170" i="5" s="1"/>
  <c r="N171" i="5" s="1"/>
  <c r="N172" i="5" s="1"/>
  <c r="N173" i="5" s="1"/>
  <c r="N174" i="5" s="1"/>
  <c r="N175" i="5" s="1"/>
  <c r="N176" i="5" s="1"/>
  <c r="N177" i="5" s="1"/>
  <c r="N178" i="5" s="1"/>
  <c r="N179" i="5" s="1"/>
  <c r="N180" i="5" s="1"/>
  <c r="N181" i="5" s="1"/>
  <c r="N182" i="5" s="1"/>
  <c r="N183" i="5" s="1"/>
  <c r="N184" i="5" s="1"/>
  <c r="N185" i="5" s="1"/>
  <c r="N186" i="5" s="1"/>
  <c r="N187" i="5" s="1"/>
  <c r="N188" i="5" s="1"/>
  <c r="N189" i="5" s="1"/>
  <c r="N190" i="5" s="1"/>
  <c r="N191" i="5" s="1"/>
  <c r="N192" i="5" s="1"/>
  <c r="N193" i="5" s="1"/>
  <c r="N194" i="5" s="1"/>
  <c r="N195" i="5" s="1"/>
  <c r="N196" i="5" s="1"/>
  <c r="N197" i="5" s="1"/>
  <c r="N198" i="5" s="1"/>
  <c r="N199" i="5" s="1"/>
  <c r="N200" i="5" s="1"/>
  <c r="N201" i="5" s="1"/>
  <c r="N202" i="5" s="1"/>
  <c r="N203" i="5" s="1"/>
  <c r="N204" i="5" s="1"/>
  <c r="N205" i="5" s="1"/>
  <c r="N206" i="5" s="1"/>
  <c r="N207" i="5" s="1"/>
  <c r="N208" i="5" s="1"/>
  <c r="N209" i="5" s="1"/>
  <c r="N210" i="5" s="1"/>
  <c r="N211" i="5" s="1"/>
  <c r="N212" i="5" s="1"/>
  <c r="N213" i="5" s="1"/>
  <c r="N214" i="5" s="1"/>
  <c r="N215" i="5" s="1"/>
  <c r="N216" i="5" s="1"/>
  <c r="N217" i="5" s="1"/>
  <c r="N218" i="5" s="1"/>
  <c r="N219" i="5" s="1"/>
  <c r="N220" i="5" s="1"/>
  <c r="N221" i="5" s="1"/>
  <c r="N222" i="5" s="1"/>
  <c r="N223" i="5" s="1"/>
  <c r="N224" i="5" s="1"/>
  <c r="N225" i="5" s="1"/>
  <c r="N226" i="5" s="1"/>
  <c r="N227" i="5" s="1"/>
  <c r="N228" i="5" s="1"/>
  <c r="N229" i="5" s="1"/>
  <c r="N230" i="5" s="1"/>
  <c r="N231" i="5" s="1"/>
  <c r="N232" i="5" s="1"/>
  <c r="N233" i="5" s="1"/>
  <c r="N234" i="5" s="1"/>
  <c r="N235" i="5" s="1"/>
  <c r="N236" i="5" s="1"/>
  <c r="N237" i="5" s="1"/>
  <c r="N238" i="5" s="1"/>
  <c r="N239" i="5" s="1"/>
  <c r="N240" i="5" s="1"/>
  <c r="N241" i="5" s="1"/>
  <c r="N242" i="5" s="1"/>
  <c r="N243" i="5" s="1"/>
  <c r="N244" i="5" s="1"/>
  <c r="N245" i="5" s="1"/>
  <c r="N246" i="5" s="1"/>
  <c r="N247" i="5" s="1"/>
  <c r="N248" i="5" s="1"/>
  <c r="N249" i="5" s="1"/>
  <c r="N250" i="5" s="1"/>
  <c r="N251" i="5" s="1"/>
  <c r="N252" i="5" s="1"/>
  <c r="N253" i="5" s="1"/>
  <c r="N254" i="5" s="1"/>
  <c r="N255" i="5" s="1"/>
  <c r="N256" i="5" s="1"/>
  <c r="N257" i="5" s="1"/>
  <c r="N258" i="5" s="1"/>
  <c r="N259" i="5" s="1"/>
  <c r="N260" i="5" s="1"/>
  <c r="N261" i="5" s="1"/>
  <c r="N262" i="5" s="1"/>
  <c r="N263" i="5" s="1"/>
  <c r="N264" i="5" s="1"/>
  <c r="N265" i="5" s="1"/>
  <c r="N266" i="5" s="1"/>
  <c r="N267" i="5" s="1"/>
  <c r="N268" i="5" s="1"/>
  <c r="N269" i="5" s="1"/>
  <c r="N270" i="5" s="1"/>
  <c r="N271" i="5" s="1"/>
  <c r="N272" i="5" s="1"/>
  <c r="N273" i="5" s="1"/>
  <c r="N274" i="5" s="1"/>
  <c r="N275" i="5" s="1"/>
  <c r="N276" i="5" s="1"/>
  <c r="N277" i="5" s="1"/>
  <c r="N278" i="5" s="1"/>
  <c r="N279" i="5" s="1"/>
  <c r="N280" i="5" s="1"/>
  <c r="N281" i="5" s="1"/>
  <c r="N282" i="5" s="1"/>
  <c r="N283" i="5" s="1"/>
  <c r="N284" i="5" s="1"/>
  <c r="N285" i="5" s="1"/>
  <c r="N286" i="5" s="1"/>
  <c r="N287" i="5" s="1"/>
  <c r="N288" i="5" s="1"/>
  <c r="N289" i="5" s="1"/>
  <c r="N290" i="5" s="1"/>
  <c r="N291" i="5" s="1"/>
  <c r="N292" i="5" s="1"/>
  <c r="N293" i="5" s="1"/>
  <c r="N294" i="5" s="1"/>
  <c r="N295" i="5" s="1"/>
  <c r="N296" i="5" s="1"/>
  <c r="N297" i="5" s="1"/>
  <c r="N298" i="5" s="1"/>
  <c r="N299" i="5" s="1"/>
  <c r="N300" i="5" s="1"/>
  <c r="N301" i="5" s="1"/>
  <c r="N302" i="5" s="1"/>
  <c r="N303" i="5" s="1"/>
  <c r="N304" i="5" s="1"/>
  <c r="N305" i="5" s="1"/>
  <c r="N306" i="5" s="1"/>
  <c r="N307" i="5" s="1"/>
  <c r="N308" i="5" s="1"/>
  <c r="N309" i="5" s="1"/>
  <c r="N310" i="5" s="1"/>
  <c r="N311" i="5" s="1"/>
  <c r="N312" i="5" s="1"/>
  <c r="N313" i="5" s="1"/>
  <c r="N314" i="5" s="1"/>
  <c r="N315" i="5" s="1"/>
  <c r="N316" i="5" s="1"/>
  <c r="N317" i="5" s="1"/>
  <c r="N318" i="5" s="1"/>
  <c r="N319" i="5" s="1"/>
  <c r="N320" i="5" s="1"/>
  <c r="N321" i="5" s="1"/>
  <c r="N322" i="5" s="1"/>
  <c r="N323" i="5" s="1"/>
  <c r="N324" i="5" s="1"/>
  <c r="N325" i="5" s="1"/>
  <c r="N3" i="5"/>
  <c r="O3" i="5"/>
  <c r="M3" i="5"/>
  <c r="N2" i="5"/>
  <c r="O2" i="5"/>
  <c r="M2" i="5"/>
  <c r="J19" i="14"/>
  <c r="J18" i="14"/>
  <c r="J17" i="14"/>
  <c r="J16" i="14"/>
  <c r="J12" i="14"/>
  <c r="J11" i="14"/>
  <c r="J10" i="14"/>
  <c r="J9" i="14"/>
  <c r="J5" i="14"/>
  <c r="J4" i="14"/>
  <c r="J3" i="14"/>
  <c r="J2" i="14"/>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2" i="5"/>
  <c r="E10" i="13"/>
  <c r="D10" i="13"/>
  <c r="C10" i="13"/>
  <c r="E9" i="13"/>
  <c r="D9" i="13"/>
  <c r="C9" i="13"/>
  <c r="E8" i="13"/>
  <c r="L8" i="13" s="1"/>
  <c r="D8" i="13"/>
  <c r="K8" i="13" s="1"/>
  <c r="C8" i="13"/>
  <c r="J8" i="13" s="1"/>
  <c r="E7" i="13"/>
  <c r="L7" i="13" s="1"/>
  <c r="D7" i="13"/>
  <c r="K7" i="13" s="1"/>
  <c r="C7" i="13"/>
  <c r="J7" i="13" s="1"/>
  <c r="E6" i="13"/>
  <c r="L6" i="13" s="1"/>
  <c r="D6" i="13"/>
  <c r="K6" i="13" s="1"/>
  <c r="C6" i="13"/>
  <c r="J6" i="13" s="1"/>
  <c r="E5" i="13"/>
  <c r="D5" i="13"/>
  <c r="C5" i="13"/>
  <c r="E4" i="13"/>
  <c r="D4" i="13"/>
  <c r="K4" i="13" s="1"/>
  <c r="C4" i="13"/>
  <c r="E3" i="13"/>
  <c r="L3" i="13" s="1"/>
  <c r="D3" i="13"/>
  <c r="K3" i="13" s="1"/>
  <c r="C3" i="13"/>
  <c r="J3" i="13" s="1"/>
  <c r="E2" i="13"/>
  <c r="D2" i="13"/>
  <c r="K2" i="13" s="1"/>
  <c r="C2" i="13"/>
  <c r="F29" i="14"/>
  <c r="F31" i="14"/>
  <c r="F32" i="14"/>
  <c r="F35" i="14"/>
  <c r="F36" i="14"/>
  <c r="E23" i="14"/>
  <c r="E24" i="14"/>
  <c r="E25" i="14"/>
  <c r="E26" i="14"/>
  <c r="E27" i="14"/>
  <c r="E28" i="14"/>
  <c r="E29" i="14"/>
  <c r="E30" i="14"/>
  <c r="E31" i="14"/>
  <c r="E32" i="14"/>
  <c r="E33" i="14"/>
  <c r="E34" i="14"/>
  <c r="E35" i="14"/>
  <c r="E36" i="14"/>
  <c r="D23" i="14"/>
  <c r="D24" i="14"/>
  <c r="D25" i="14"/>
  <c r="D26" i="14"/>
  <c r="D27" i="14"/>
  <c r="D28" i="14"/>
  <c r="D29" i="14"/>
  <c r="D30" i="14"/>
  <c r="D31" i="14"/>
  <c r="D32" i="14"/>
  <c r="D33" i="14"/>
  <c r="D34" i="14"/>
  <c r="D35" i="14"/>
  <c r="D36" i="14"/>
  <c r="E22" i="14"/>
  <c r="D22" i="14"/>
  <c r="F42" i="14"/>
  <c r="F43" i="14"/>
  <c r="F46" i="14"/>
  <c r="F53" i="14"/>
  <c r="F54" i="14"/>
  <c r="F55" i="14"/>
  <c r="F41" i="14"/>
  <c r="E42" i="14"/>
  <c r="E43" i="14"/>
  <c r="E44" i="14"/>
  <c r="E45" i="14"/>
  <c r="E46" i="14"/>
  <c r="E47" i="14"/>
  <c r="E48" i="14"/>
  <c r="E49" i="14"/>
  <c r="E50" i="14"/>
  <c r="E51" i="14"/>
  <c r="E52" i="14"/>
  <c r="E53" i="14"/>
  <c r="E54" i="14"/>
  <c r="E55" i="14"/>
  <c r="E41" i="14"/>
  <c r="D42" i="14"/>
  <c r="D43" i="14"/>
  <c r="D44" i="14"/>
  <c r="D45" i="14"/>
  <c r="D46" i="14"/>
  <c r="D47" i="14"/>
  <c r="D48" i="14"/>
  <c r="D49" i="14"/>
  <c r="D50" i="14"/>
  <c r="D51" i="14"/>
  <c r="D52" i="14"/>
  <c r="D53" i="14"/>
  <c r="D54" i="14"/>
  <c r="D55" i="14"/>
  <c r="D41" i="14"/>
  <c r="F40" i="14"/>
  <c r="E40" i="14"/>
  <c r="D40" i="14"/>
  <c r="C40" i="14"/>
  <c r="F21" i="14"/>
  <c r="E21" i="14"/>
  <c r="D21" i="14"/>
  <c r="C21" i="14"/>
  <c r="C52" i="14"/>
  <c r="C53" i="14"/>
  <c r="C54" i="14"/>
  <c r="C55" i="14"/>
  <c r="C41" i="14"/>
  <c r="C42" i="14"/>
  <c r="C43" i="14"/>
  <c r="C44" i="14"/>
  <c r="C45" i="14"/>
  <c r="C46" i="14"/>
  <c r="C47" i="14"/>
  <c r="C48" i="14"/>
  <c r="C49" i="14"/>
  <c r="C50" i="14"/>
  <c r="C51" i="14"/>
  <c r="C23" i="14"/>
  <c r="C24" i="14"/>
  <c r="C25" i="14"/>
  <c r="C26" i="14"/>
  <c r="C27" i="14"/>
  <c r="C28" i="14"/>
  <c r="C29" i="14"/>
  <c r="C30" i="14"/>
  <c r="C31" i="14"/>
  <c r="C32" i="14"/>
  <c r="C33" i="14"/>
  <c r="C34" i="14"/>
  <c r="C35" i="14"/>
  <c r="C36" i="14"/>
  <c r="C22" i="14"/>
  <c r="F4" i="14"/>
  <c r="F5" i="14"/>
  <c r="F6" i="14"/>
  <c r="F8" i="14"/>
  <c r="F9" i="14"/>
  <c r="F10" i="14"/>
  <c r="F2" i="14"/>
  <c r="E3" i="14"/>
  <c r="E4" i="14"/>
  <c r="E5" i="14"/>
  <c r="E6" i="14"/>
  <c r="E7" i="14"/>
  <c r="E8" i="14"/>
  <c r="E9" i="14"/>
  <c r="E10" i="14"/>
  <c r="E11" i="14"/>
  <c r="E12" i="14"/>
  <c r="E13" i="14"/>
  <c r="E14" i="14"/>
  <c r="E15" i="14"/>
  <c r="E16" i="14"/>
  <c r="E17" i="14"/>
  <c r="E2" i="14"/>
  <c r="D3" i="14"/>
  <c r="D4" i="14"/>
  <c r="D5" i="14"/>
  <c r="D6" i="14"/>
  <c r="D7" i="14"/>
  <c r="D8" i="14"/>
  <c r="D9" i="14"/>
  <c r="D10" i="14"/>
  <c r="D11" i="14"/>
  <c r="D12" i="14"/>
  <c r="D13" i="14"/>
  <c r="D14" i="14"/>
  <c r="D15" i="14"/>
  <c r="D16" i="14"/>
  <c r="D17" i="14"/>
  <c r="D2" i="14"/>
  <c r="C3" i="14"/>
  <c r="C4" i="14"/>
  <c r="C5" i="14"/>
  <c r="C6" i="14"/>
  <c r="C7" i="14"/>
  <c r="C8" i="14"/>
  <c r="C9" i="14"/>
  <c r="C10" i="14"/>
  <c r="C11" i="14"/>
  <c r="C12" i="14"/>
  <c r="C13" i="14"/>
  <c r="C14" i="14"/>
  <c r="C15" i="14"/>
  <c r="C16" i="14"/>
  <c r="C17" i="14"/>
  <c r="C2" i="14"/>
  <c r="A11" i="11"/>
  <c r="A12" i="11"/>
  <c r="G12" i="11" s="1"/>
  <c r="A13" i="11"/>
  <c r="G13" i="11" s="1"/>
  <c r="A14" i="11"/>
  <c r="G14" i="11" s="1"/>
  <c r="A15" i="11"/>
  <c r="A16" i="11"/>
  <c r="A17" i="11"/>
  <c r="G17" i="11" s="1"/>
  <c r="A18" i="11"/>
  <c r="G18" i="11" s="1"/>
  <c r="A19" i="11"/>
  <c r="A20" i="11"/>
  <c r="A21" i="11"/>
  <c r="A22" i="11"/>
  <c r="A23" i="11"/>
  <c r="A24" i="11"/>
  <c r="A25" i="11"/>
  <c r="G25" i="11" s="1"/>
  <c r="A26" i="11"/>
  <c r="G26" i="11" s="1"/>
  <c r="A27" i="11"/>
  <c r="G27" i="11" s="1"/>
  <c r="A28" i="11"/>
  <c r="G28" i="11" s="1"/>
  <c r="A29" i="11"/>
  <c r="G29" i="11" s="1"/>
  <c r="A30" i="11"/>
  <c r="G30" i="11" s="1"/>
  <c r="A31" i="11"/>
  <c r="G31" i="11" s="1"/>
  <c r="A32" i="11"/>
  <c r="G32" i="11" s="1"/>
  <c r="A33" i="11"/>
  <c r="G33" i="11" s="1"/>
  <c r="A34" i="11"/>
  <c r="G34" i="11" s="1"/>
  <c r="A35" i="11"/>
  <c r="G35" i="11" s="1"/>
  <c r="A36" i="11"/>
  <c r="G36" i="11" s="1"/>
  <c r="A37" i="11"/>
  <c r="G37" i="11" s="1"/>
  <c r="A38" i="11"/>
  <c r="G38" i="11" s="1"/>
  <c r="A39" i="11"/>
  <c r="G39" i="11" s="1"/>
  <c r="A40" i="11"/>
  <c r="G40" i="11" s="1"/>
  <c r="A41" i="11"/>
  <c r="G41" i="11" s="1"/>
  <c r="A42" i="11"/>
  <c r="G42" i="11" s="1"/>
  <c r="A43" i="11"/>
  <c r="G43" i="11" s="1"/>
  <c r="A44" i="11"/>
  <c r="G44" i="11" s="1"/>
  <c r="A45" i="11"/>
  <c r="G45" i="11" s="1"/>
  <c r="A46" i="11"/>
  <c r="G46" i="11" s="1"/>
  <c r="A47" i="11"/>
  <c r="G47" i="11" s="1"/>
  <c r="A48" i="11"/>
  <c r="G48" i="11" s="1"/>
  <c r="A49" i="11"/>
  <c r="G49" i="11" s="1"/>
  <c r="A50" i="11"/>
  <c r="G50" i="11" s="1"/>
  <c r="A51" i="11"/>
  <c r="G51" i="11" s="1"/>
  <c r="A52" i="11"/>
  <c r="G52" i="11" s="1"/>
  <c r="A53" i="11"/>
  <c r="G53" i="11" s="1"/>
  <c r="A54" i="11"/>
  <c r="G54" i="11" s="1"/>
  <c r="A55" i="11"/>
  <c r="A56" i="11"/>
  <c r="G56" i="11" s="1"/>
  <c r="A57" i="11"/>
  <c r="G57" i="11" s="1"/>
  <c r="A58" i="11"/>
  <c r="A59" i="11"/>
  <c r="G59" i="11" s="1"/>
  <c r="A60" i="11"/>
  <c r="G60" i="11" s="1"/>
  <c r="A61" i="11"/>
  <c r="G61" i="11" s="1"/>
  <c r="A62" i="11"/>
  <c r="G62" i="11" s="1"/>
  <c r="A63" i="11"/>
  <c r="G63" i="11" s="1"/>
  <c r="A64" i="11"/>
  <c r="G64" i="11" s="1"/>
  <c r="A65" i="11"/>
  <c r="G65" i="11" s="1"/>
  <c r="A66" i="11"/>
  <c r="G66" i="11" s="1"/>
  <c r="A67" i="11"/>
  <c r="G67" i="11" s="1"/>
  <c r="A68" i="11"/>
  <c r="G68" i="11" s="1"/>
  <c r="A69" i="11"/>
  <c r="G69" i="11" s="1"/>
  <c r="A70" i="11"/>
  <c r="G70" i="11" s="1"/>
  <c r="A71" i="11"/>
  <c r="G71" i="11" s="1"/>
  <c r="A72" i="11"/>
  <c r="G72" i="11" s="1"/>
  <c r="A73" i="11"/>
  <c r="G73" i="11" s="1"/>
  <c r="A74" i="11"/>
  <c r="G74" i="11" s="1"/>
  <c r="A75" i="11"/>
  <c r="G75" i="11" s="1"/>
  <c r="A76" i="11"/>
  <c r="G76" i="11" s="1"/>
  <c r="A77" i="11"/>
  <c r="G77" i="11" s="1"/>
  <c r="A78" i="11"/>
  <c r="G78" i="11" s="1"/>
  <c r="A79" i="11"/>
  <c r="G79" i="11" s="1"/>
  <c r="A80" i="11"/>
  <c r="G80" i="11" s="1"/>
  <c r="A81" i="11"/>
  <c r="G81" i="11" s="1"/>
  <c r="A82" i="11"/>
  <c r="A83" i="11"/>
  <c r="A84" i="11"/>
  <c r="A85" i="11"/>
  <c r="A86" i="11"/>
  <c r="A87" i="11"/>
  <c r="G87" i="11" s="1"/>
  <c r="A88" i="11"/>
  <c r="G88" i="11" s="1"/>
  <c r="A89" i="11"/>
  <c r="G89" i="11" s="1"/>
  <c r="A90" i="11"/>
  <c r="G90" i="11" s="1"/>
  <c r="A91" i="11"/>
  <c r="G91" i="11" s="1"/>
  <c r="A92" i="11"/>
  <c r="G92" i="11" s="1"/>
  <c r="A93" i="11"/>
  <c r="G93" i="11" s="1"/>
  <c r="A94" i="11"/>
  <c r="G94" i="11" s="1"/>
  <c r="A95" i="11"/>
  <c r="A96" i="11"/>
  <c r="G96" i="11" s="1"/>
  <c r="A97" i="11"/>
  <c r="G97" i="11" s="1"/>
  <c r="A98" i="11"/>
  <c r="G98" i="11" s="1"/>
  <c r="A99" i="11"/>
  <c r="G99" i="11" s="1"/>
  <c r="A100" i="11"/>
  <c r="G100" i="11" s="1"/>
  <c r="A101" i="11"/>
  <c r="G101" i="11" s="1"/>
  <c r="A102" i="11"/>
  <c r="G102" i="11" s="1"/>
  <c r="A103" i="11"/>
  <c r="G103" i="11" s="1"/>
  <c r="A104" i="11"/>
  <c r="G104" i="11" s="1"/>
  <c r="A105" i="11"/>
  <c r="G105" i="11" s="1"/>
  <c r="A106" i="11"/>
  <c r="G106" i="11" s="1"/>
  <c r="A107" i="11"/>
  <c r="G107" i="11" s="1"/>
  <c r="A108" i="11"/>
  <c r="G108" i="11" s="1"/>
  <c r="A109" i="11"/>
  <c r="G109" i="11" s="1"/>
  <c r="A110" i="11"/>
  <c r="G110" i="11" s="1"/>
  <c r="A111" i="11"/>
  <c r="G111" i="11" s="1"/>
  <c r="A112" i="11"/>
  <c r="G112" i="11" s="1"/>
  <c r="A113" i="11"/>
  <c r="G113" i="11" s="1"/>
  <c r="A114" i="11"/>
  <c r="G114" i="11" s="1"/>
  <c r="A115" i="11"/>
  <c r="G115" i="11" s="1"/>
  <c r="A116" i="11"/>
  <c r="G116" i="11" s="1"/>
  <c r="A117" i="11"/>
  <c r="G117" i="11" s="1"/>
  <c r="A118" i="11"/>
  <c r="G118" i="11" s="1"/>
  <c r="A119" i="11"/>
  <c r="G119" i="11" s="1"/>
  <c r="A120" i="11"/>
  <c r="G120" i="11" s="1"/>
  <c r="A121" i="11"/>
  <c r="G121" i="11" s="1"/>
  <c r="A122" i="11"/>
  <c r="G122" i="11" s="1"/>
  <c r="A123" i="11"/>
  <c r="G123" i="11" s="1"/>
  <c r="A124" i="11"/>
  <c r="G124" i="11" s="1"/>
  <c r="A125" i="11"/>
  <c r="G125" i="11" s="1"/>
  <c r="A126" i="11"/>
  <c r="G126" i="11" s="1"/>
  <c r="A127" i="11"/>
  <c r="G127" i="11" s="1"/>
  <c r="A128" i="11"/>
  <c r="G128" i="11" s="1"/>
  <c r="A129" i="11"/>
  <c r="G129" i="11" s="1"/>
  <c r="A130" i="11"/>
  <c r="G130" i="11" s="1"/>
  <c r="A131" i="11"/>
  <c r="G131" i="11" s="1"/>
  <c r="A132" i="11"/>
  <c r="G132" i="11" s="1"/>
  <c r="A133" i="11"/>
  <c r="G133" i="11" s="1"/>
  <c r="A134" i="11"/>
  <c r="G134" i="11" s="1"/>
  <c r="A135" i="11"/>
  <c r="G135" i="11" s="1"/>
  <c r="A136" i="11"/>
  <c r="G136" i="11" s="1"/>
  <c r="A137" i="11"/>
  <c r="G137" i="11" s="1"/>
  <c r="A138" i="11"/>
  <c r="G138" i="11" s="1"/>
  <c r="A139" i="11"/>
  <c r="G139" i="11" s="1"/>
  <c r="A140" i="11"/>
  <c r="G140" i="11" s="1"/>
  <c r="A141" i="11"/>
  <c r="G141" i="11" s="1"/>
  <c r="A10" i="11"/>
  <c r="G10" i="11" s="1"/>
  <c r="H2" i="12"/>
  <c r="I2" i="12" s="1"/>
  <c r="H33" i="12"/>
  <c r="I33" i="12" s="1"/>
  <c r="H3" i="12"/>
  <c r="I3" i="12" s="1"/>
  <c r="H4" i="12"/>
  <c r="I4" i="12" s="1"/>
  <c r="H5" i="12"/>
  <c r="I5" i="12" s="1"/>
  <c r="H6" i="12"/>
  <c r="I6" i="12" s="1"/>
  <c r="H7" i="12"/>
  <c r="I7" i="12" s="1"/>
  <c r="H8" i="12"/>
  <c r="I8" i="12" s="1"/>
  <c r="H9" i="12"/>
  <c r="I9" i="12" s="1"/>
  <c r="H10" i="12"/>
  <c r="I10" i="12" s="1"/>
  <c r="H11" i="12"/>
  <c r="I11" i="12" s="1"/>
  <c r="H12" i="12"/>
  <c r="I12" i="12" s="1"/>
  <c r="H13" i="12"/>
  <c r="I13" i="12" s="1"/>
  <c r="H14" i="12"/>
  <c r="I14" i="12" s="1"/>
  <c r="H15" i="12"/>
  <c r="I15" i="12" s="1"/>
  <c r="H16" i="12"/>
  <c r="I16" i="12" s="1"/>
  <c r="H17" i="12"/>
  <c r="I17" i="12" s="1"/>
  <c r="H18" i="12"/>
  <c r="I18" i="12" s="1"/>
  <c r="H19" i="12"/>
  <c r="I19" i="12" s="1"/>
  <c r="H20" i="12"/>
  <c r="I20" i="12" s="1"/>
  <c r="H21" i="12"/>
  <c r="I21" i="12" s="1"/>
  <c r="H22" i="12"/>
  <c r="I22" i="12" s="1"/>
  <c r="H23" i="12"/>
  <c r="I23" i="12" s="1"/>
  <c r="H24" i="12"/>
  <c r="I24" i="12" s="1"/>
  <c r="H25" i="12"/>
  <c r="I25" i="12" s="1"/>
  <c r="H26" i="12"/>
  <c r="I26" i="12" s="1"/>
  <c r="H27" i="12"/>
  <c r="I27" i="12" s="1"/>
  <c r="H28" i="12"/>
  <c r="I28" i="12" s="1"/>
  <c r="H29" i="12"/>
  <c r="I29" i="12" s="1"/>
  <c r="H30" i="12"/>
  <c r="I30" i="12" s="1"/>
  <c r="H31" i="12"/>
  <c r="I31" i="12" s="1"/>
  <c r="H32" i="12"/>
  <c r="I32" i="12" s="1"/>
  <c r="E15" i="12"/>
  <c r="F34" i="14" s="1"/>
  <c r="E33" i="12"/>
  <c r="F28" i="14" s="1"/>
  <c r="E32" i="12"/>
  <c r="E31" i="12"/>
  <c r="E30" i="12"/>
  <c r="E29" i="12"/>
  <c r="E28" i="12"/>
  <c r="E27" i="12"/>
  <c r="E26" i="12"/>
  <c r="F14" i="14" s="1"/>
  <c r="E25" i="12"/>
  <c r="F17" i="14" s="1"/>
  <c r="E24" i="12"/>
  <c r="F15" i="14" s="1"/>
  <c r="E23" i="12"/>
  <c r="F48" i="14" s="1"/>
  <c r="E22" i="12"/>
  <c r="E21" i="12"/>
  <c r="F51" i="14" s="1"/>
  <c r="E20" i="12"/>
  <c r="F20" i="12" s="1"/>
  <c r="G20" i="12" s="1"/>
  <c r="E19" i="12"/>
  <c r="F3" i="14" s="1"/>
  <c r="E18" i="12"/>
  <c r="F7" i="14" s="1"/>
  <c r="E17" i="12"/>
  <c r="F13" i="14" s="1"/>
  <c r="E16" i="12"/>
  <c r="F47" i="14" s="1"/>
  <c r="E14" i="12"/>
  <c r="F25" i="14" s="1"/>
  <c r="E13" i="12"/>
  <c r="F12" i="14" s="1"/>
  <c r="E12" i="12"/>
  <c r="E11" i="12"/>
  <c r="F23" i="14" s="1"/>
  <c r="E10" i="12"/>
  <c r="E9" i="12"/>
  <c r="F49" i="14" s="1"/>
  <c r="E8" i="12"/>
  <c r="E7" i="12"/>
  <c r="F33" i="14" s="1"/>
  <c r="E6" i="12"/>
  <c r="F16" i="14" s="1"/>
  <c r="E5" i="12"/>
  <c r="F11" i="14" s="1"/>
  <c r="E4" i="12"/>
  <c r="F22" i="14" s="1"/>
  <c r="E3" i="12"/>
  <c r="F30" i="14" s="1"/>
  <c r="E2" i="12"/>
  <c r="F24" i="14" s="1"/>
  <c r="G82" i="11"/>
  <c r="G83" i="11"/>
  <c r="I9" i="11"/>
  <c r="J9" i="11"/>
  <c r="H9" i="11"/>
  <c r="C3" i="11"/>
  <c r="E9" i="11" s="1"/>
  <c r="C10" i="11" s="1"/>
  <c r="C11" i="11" s="1"/>
  <c r="C12" i="11" s="1"/>
  <c r="C13" i="11" s="1"/>
  <c r="C14" i="11" s="1"/>
  <c r="C15" i="11" s="1"/>
  <c r="C16" i="11" s="1"/>
  <c r="C17" i="11" s="1"/>
  <c r="C18" i="11" s="1"/>
  <c r="C19" i="11" s="1"/>
  <c r="C20" i="11" s="1"/>
  <c r="C21" i="11" s="1"/>
  <c r="C22" i="11" s="1"/>
  <c r="C23" i="11" s="1"/>
  <c r="C24" i="11" s="1"/>
  <c r="C25" i="11" s="1"/>
  <c r="C26" i="11" s="1"/>
  <c r="C27" i="11" s="1"/>
  <c r="C28" i="11" s="1"/>
  <c r="C29" i="11" s="1"/>
  <c r="C30" i="11" s="1"/>
  <c r="C31" i="11" s="1"/>
  <c r="C32" i="11" s="1"/>
  <c r="C33" i="11" s="1"/>
  <c r="C34" i="11" s="1"/>
  <c r="C35" i="11" s="1"/>
  <c r="C36" i="11" s="1"/>
  <c r="C37" i="11" s="1"/>
  <c r="C38" i="11" s="1"/>
  <c r="C39" i="11" s="1"/>
  <c r="C40" i="11" s="1"/>
  <c r="C41" i="11" s="1"/>
  <c r="C42" i="11" s="1"/>
  <c r="C43" i="11" s="1"/>
  <c r="C44" i="11" s="1"/>
  <c r="C45" i="11" s="1"/>
  <c r="C46" i="11" s="1"/>
  <c r="C47" i="11" s="1"/>
  <c r="C48" i="11" s="1"/>
  <c r="C49" i="11" s="1"/>
  <c r="C50" i="11" s="1"/>
  <c r="C51" i="11" s="1"/>
  <c r="C52" i="11" s="1"/>
  <c r="C53" i="11" s="1"/>
  <c r="C54" i="11" s="1"/>
  <c r="C55" i="11" s="1"/>
  <c r="C56" i="11" s="1"/>
  <c r="C57" i="11" s="1"/>
  <c r="C58" i="11" s="1"/>
  <c r="C59" i="11" s="1"/>
  <c r="C60" i="11" s="1"/>
  <c r="C61" i="11" s="1"/>
  <c r="C62" i="11" s="1"/>
  <c r="C63" i="11" s="1"/>
  <c r="C64" i="11" s="1"/>
  <c r="C65" i="11" s="1"/>
  <c r="C66" i="11" s="1"/>
  <c r="C67" i="11" s="1"/>
  <c r="C68" i="11" s="1"/>
  <c r="C69" i="11" s="1"/>
  <c r="C70" i="11" s="1"/>
  <c r="C71" i="11" s="1"/>
  <c r="C72" i="11" s="1"/>
  <c r="C73" i="11" s="1"/>
  <c r="C74" i="11" s="1"/>
  <c r="C75" i="11" s="1"/>
  <c r="C76" i="11" s="1"/>
  <c r="C77" i="11" s="1"/>
  <c r="C78" i="11" s="1"/>
  <c r="C79" i="11" s="1"/>
  <c r="C80" i="11" s="1"/>
  <c r="C81" i="11" s="1"/>
  <c r="C82" i="11" s="1"/>
  <c r="C83" i="11" s="1"/>
  <c r="C84" i="11" s="1"/>
  <c r="C85" i="11" s="1"/>
  <c r="C86" i="11" s="1"/>
  <c r="C87" i="11" s="1"/>
  <c r="C88" i="11" s="1"/>
  <c r="C89" i="11" s="1"/>
  <c r="C90" i="11" s="1"/>
  <c r="C91" i="11" s="1"/>
  <c r="C92" i="11" s="1"/>
  <c r="C93" i="11" s="1"/>
  <c r="C94" i="11" s="1"/>
  <c r="C95" i="11" s="1"/>
  <c r="C96" i="11" s="1"/>
  <c r="C97" i="11" s="1"/>
  <c r="C98" i="11" s="1"/>
  <c r="C99" i="11" s="1"/>
  <c r="C100" i="11" s="1"/>
  <c r="C101" i="11" s="1"/>
  <c r="C102" i="11" s="1"/>
  <c r="C103" i="11" s="1"/>
  <c r="C104" i="11" s="1"/>
  <c r="C105" i="11" s="1"/>
  <c r="C106" i="11" s="1"/>
  <c r="C107" i="11" s="1"/>
  <c r="C108" i="11" s="1"/>
  <c r="C109" i="11" s="1"/>
  <c r="C110" i="11" s="1"/>
  <c r="C111" i="11" s="1"/>
  <c r="C112" i="11" s="1"/>
  <c r="C113" i="11" s="1"/>
  <c r="C114" i="11" s="1"/>
  <c r="C115" i="11" s="1"/>
  <c r="C116" i="11" s="1"/>
  <c r="C117" i="11" s="1"/>
  <c r="C118" i="11" s="1"/>
  <c r="C119" i="11" s="1"/>
  <c r="C120" i="11" s="1"/>
  <c r="C121" i="11" s="1"/>
  <c r="C122" i="11" s="1"/>
  <c r="C123" i="11" s="1"/>
  <c r="C124" i="11" s="1"/>
  <c r="C125" i="11" s="1"/>
  <c r="C126" i="11" s="1"/>
  <c r="C127" i="11" s="1"/>
  <c r="C128" i="11" s="1"/>
  <c r="C129" i="11" s="1"/>
  <c r="C130" i="11" s="1"/>
  <c r="C131" i="11" s="1"/>
  <c r="C132" i="11" s="1"/>
  <c r="C133" i="11" s="1"/>
  <c r="C134" i="11" s="1"/>
  <c r="C135" i="11" s="1"/>
  <c r="C136" i="11" s="1"/>
  <c r="C137" i="11" s="1"/>
  <c r="C138" i="11" s="1"/>
  <c r="C139" i="11" s="1"/>
  <c r="C140" i="11" s="1"/>
  <c r="C141" i="11" s="1"/>
  <c r="G11" i="11"/>
  <c r="G15" i="11"/>
  <c r="G16" i="11"/>
  <c r="G19" i="11"/>
  <c r="G20" i="11"/>
  <c r="G21" i="11"/>
  <c r="G22" i="11"/>
  <c r="G23" i="11"/>
  <c r="G24" i="11"/>
  <c r="G55" i="11"/>
  <c r="G58" i="11"/>
  <c r="G84" i="11"/>
  <c r="G85" i="11"/>
  <c r="G86" i="11"/>
  <c r="G95" i="11"/>
  <c r="D23" i="10"/>
  <c r="D22" i="10"/>
  <c r="D21" i="10"/>
  <c r="D20" i="10"/>
  <c r="D19" i="10"/>
  <c r="D18" i="10"/>
  <c r="D17" i="10"/>
  <c r="D15" i="10"/>
  <c r="D16" i="10"/>
  <c r="A15" i="10"/>
  <c r="B15" i="10"/>
  <c r="A16" i="10"/>
  <c r="B16" i="10"/>
  <c r="A17" i="10"/>
  <c r="B17" i="10"/>
  <c r="A18" i="10"/>
  <c r="B18" i="10"/>
  <c r="A19" i="10"/>
  <c r="B19" i="10"/>
  <c r="A20" i="10"/>
  <c r="B20" i="10"/>
  <c r="A21" i="10"/>
  <c r="B21" i="10"/>
  <c r="A22" i="10"/>
  <c r="B22" i="10"/>
  <c r="A23" i="10"/>
  <c r="B23" i="10"/>
  <c r="B14" i="10"/>
  <c r="C14" i="10"/>
  <c r="A14" i="10"/>
  <c r="F45" i="14" l="1"/>
  <c r="F44" i="14"/>
  <c r="F52" i="14"/>
  <c r="F27" i="14"/>
  <c r="F50" i="14"/>
  <c r="F26" i="14"/>
  <c r="B10" i="11"/>
  <c r="B11" i="11" s="1"/>
  <c r="B12" i="11" s="1"/>
  <c r="B13" i="11" s="1"/>
  <c r="B14" i="11" s="1"/>
  <c r="B15" i="11" s="1"/>
  <c r="B16" i="11" s="1"/>
  <c r="B17" i="11" s="1"/>
  <c r="B18" i="11" s="1"/>
  <c r="B19" i="11" s="1"/>
  <c r="B20" i="11" s="1"/>
  <c r="B21" i="11" s="1"/>
  <c r="B22" i="11" s="1"/>
  <c r="B23" i="11" s="1"/>
  <c r="B24" i="11" s="1"/>
  <c r="B25" i="11" s="1"/>
  <c r="B26" i="11" s="1"/>
  <c r="B27" i="11" s="1"/>
  <c r="B28" i="11" s="1"/>
  <c r="B29" i="11" s="1"/>
  <c r="B30" i="11" s="1"/>
  <c r="B31" i="11" s="1"/>
  <c r="B32" i="11" s="1"/>
  <c r="B33" i="11" s="1"/>
  <c r="B34" i="11" s="1"/>
  <c r="B35" i="11" s="1"/>
  <c r="B36" i="11" s="1"/>
  <c r="B37" i="11" s="1"/>
  <c r="B38" i="11" s="1"/>
  <c r="B39" i="11" s="1"/>
  <c r="B40" i="11" s="1"/>
  <c r="B41" i="11" s="1"/>
  <c r="B42" i="11" s="1"/>
  <c r="B43" i="11" s="1"/>
  <c r="B44" i="11" s="1"/>
  <c r="B45" i="11" s="1"/>
  <c r="B46" i="11" s="1"/>
  <c r="B47" i="11" s="1"/>
  <c r="B48" i="11" s="1"/>
  <c r="B49" i="11" s="1"/>
  <c r="B50" i="11" s="1"/>
  <c r="B51" i="11" s="1"/>
  <c r="B52" i="11" s="1"/>
  <c r="B53" i="11" s="1"/>
  <c r="B54" i="11" s="1"/>
  <c r="B55" i="11" s="1"/>
  <c r="B56" i="11" s="1"/>
  <c r="B57" i="11" s="1"/>
  <c r="B58" i="11" s="1"/>
  <c r="B59" i="11" s="1"/>
  <c r="B60" i="11" s="1"/>
  <c r="B61" i="11" s="1"/>
  <c r="B62" i="11" s="1"/>
  <c r="B63" i="11" s="1"/>
  <c r="B64" i="11" s="1"/>
  <c r="B65" i="11" s="1"/>
  <c r="B66" i="11" s="1"/>
  <c r="B67" i="11" s="1"/>
  <c r="B68" i="11" s="1"/>
  <c r="B69" i="11" s="1"/>
  <c r="B70" i="11" s="1"/>
  <c r="B71" i="11" s="1"/>
  <c r="B72" i="11" s="1"/>
  <c r="B73" i="11" s="1"/>
  <c r="B74" i="11" s="1"/>
  <c r="B75" i="11" s="1"/>
  <c r="B76" i="11" s="1"/>
  <c r="B77" i="11" s="1"/>
  <c r="B78" i="11" s="1"/>
  <c r="B79" i="11" s="1"/>
  <c r="B80" i="11" s="1"/>
  <c r="B81" i="11" s="1"/>
  <c r="B82" i="11" s="1"/>
  <c r="B83" i="11" s="1"/>
  <c r="B84" i="11" s="1"/>
  <c r="B85" i="11" s="1"/>
  <c r="B86" i="11" s="1"/>
  <c r="B87" i="11" s="1"/>
  <c r="B88" i="11" s="1"/>
  <c r="B89" i="11" s="1"/>
  <c r="B90" i="11" s="1"/>
  <c r="B91" i="11" s="1"/>
  <c r="B92" i="11" s="1"/>
  <c r="B93" i="11" s="1"/>
  <c r="B94" i="11" s="1"/>
  <c r="B95" i="11" s="1"/>
  <c r="B96" i="11" s="1"/>
  <c r="B97" i="11" s="1"/>
  <c r="B98" i="11" s="1"/>
  <c r="B99" i="11" s="1"/>
  <c r="B100" i="11" s="1"/>
  <c r="B101" i="11" s="1"/>
  <c r="B102" i="11" s="1"/>
  <c r="B103" i="11" s="1"/>
  <c r="B104" i="11" s="1"/>
  <c r="B105" i="11" s="1"/>
  <c r="B106" i="11" s="1"/>
  <c r="B107" i="11" s="1"/>
  <c r="B108" i="11" s="1"/>
  <c r="B109" i="11" s="1"/>
  <c r="B110" i="11" s="1"/>
  <c r="B111" i="11" s="1"/>
  <c r="B112" i="11" s="1"/>
  <c r="B113" i="11" s="1"/>
  <c r="B114" i="11" s="1"/>
  <c r="B115" i="11" s="1"/>
  <c r="B116" i="11" s="1"/>
  <c r="B117" i="11" s="1"/>
  <c r="B118" i="11" s="1"/>
  <c r="B119" i="11" s="1"/>
  <c r="B120" i="11" s="1"/>
  <c r="B121" i="11" s="1"/>
  <c r="B122" i="11" s="1"/>
  <c r="B123" i="11" s="1"/>
  <c r="B124" i="11" s="1"/>
  <c r="B125" i="11" s="1"/>
  <c r="B126" i="11" s="1"/>
  <c r="B127" i="11" s="1"/>
  <c r="B128" i="11" s="1"/>
  <c r="B129" i="11" s="1"/>
  <c r="B130" i="11" s="1"/>
  <c r="B131" i="11" s="1"/>
  <c r="B132" i="11" s="1"/>
  <c r="B133" i="11" s="1"/>
  <c r="B134" i="11" s="1"/>
  <c r="B135" i="11" s="1"/>
  <c r="B136" i="11" s="1"/>
  <c r="B137" i="11" s="1"/>
  <c r="B138" i="11" s="1"/>
  <c r="B139" i="11" s="1"/>
  <c r="B140" i="11" s="1"/>
  <c r="B141" i="11" s="1"/>
  <c r="D10" i="11"/>
  <c r="D11" i="11" s="1"/>
  <c r="D12" i="11" s="1"/>
  <c r="D13" i="11" s="1"/>
  <c r="D14" i="11" s="1"/>
  <c r="D15" i="11" s="1"/>
  <c r="D16" i="11" s="1"/>
  <c r="D17" i="11" s="1"/>
  <c r="D18" i="11" s="1"/>
  <c r="D19" i="11" s="1"/>
  <c r="D20" i="11" s="1"/>
  <c r="D21" i="11" s="1"/>
  <c r="D22" i="11" s="1"/>
  <c r="D23" i="11" s="1"/>
  <c r="D24" i="11" s="1"/>
  <c r="D25" i="11" s="1"/>
  <c r="D26" i="11" s="1"/>
  <c r="D27" i="11" s="1"/>
  <c r="D28" i="11" s="1"/>
  <c r="D29" i="11" s="1"/>
  <c r="D30" i="11" s="1"/>
  <c r="D31" i="11" s="1"/>
  <c r="D32" i="11" s="1"/>
  <c r="D33" i="11" s="1"/>
  <c r="D34" i="11" s="1"/>
  <c r="D35" i="11" s="1"/>
  <c r="D36" i="11" s="1"/>
  <c r="D37" i="11" s="1"/>
  <c r="D38" i="11" s="1"/>
  <c r="D39" i="11" s="1"/>
  <c r="D40" i="11" s="1"/>
  <c r="D41" i="11" s="1"/>
  <c r="D42" i="11" s="1"/>
  <c r="D43" i="11" s="1"/>
  <c r="D44" i="11" s="1"/>
  <c r="D45" i="11" s="1"/>
  <c r="D46" i="11" s="1"/>
  <c r="D47" i="11" s="1"/>
  <c r="D48" i="11" s="1"/>
  <c r="D49" i="11" s="1"/>
  <c r="D50" i="11" s="1"/>
  <c r="D51" i="11" s="1"/>
  <c r="D52" i="11" s="1"/>
  <c r="D53" i="11" s="1"/>
  <c r="D54" i="11" s="1"/>
  <c r="D55" i="11" s="1"/>
  <c r="D56" i="11" s="1"/>
  <c r="D57" i="11" s="1"/>
  <c r="D58" i="11" s="1"/>
  <c r="D59" i="11" s="1"/>
  <c r="D60" i="11" s="1"/>
  <c r="D61" i="11" s="1"/>
  <c r="D62" i="11" s="1"/>
  <c r="D63" i="11" s="1"/>
  <c r="D64" i="11" s="1"/>
  <c r="D65" i="11" s="1"/>
  <c r="D66" i="11" s="1"/>
  <c r="D67" i="11" s="1"/>
  <c r="D68" i="11" s="1"/>
  <c r="D69" i="11" s="1"/>
  <c r="D70" i="11" s="1"/>
  <c r="D71" i="11" s="1"/>
  <c r="D72" i="11" s="1"/>
  <c r="D73" i="11" s="1"/>
  <c r="D74" i="11" s="1"/>
  <c r="D75" i="11" s="1"/>
  <c r="D76" i="11" s="1"/>
  <c r="D77" i="11" s="1"/>
  <c r="D78" i="11" s="1"/>
  <c r="D79" i="11" s="1"/>
  <c r="D80" i="11" s="1"/>
  <c r="D81" i="11" s="1"/>
  <c r="D82" i="11" s="1"/>
  <c r="D83" i="11" s="1"/>
  <c r="D84" i="11" s="1"/>
  <c r="D85" i="11" s="1"/>
  <c r="D86" i="11" s="1"/>
  <c r="D87" i="11" s="1"/>
  <c r="D88" i="11" s="1"/>
  <c r="D89" i="11" s="1"/>
  <c r="D90" i="11" s="1"/>
  <c r="D91" i="11" s="1"/>
  <c r="D92" i="11" s="1"/>
  <c r="D93" i="11" s="1"/>
  <c r="D94" i="11" s="1"/>
  <c r="D95" i="11" s="1"/>
  <c r="D96" i="11" s="1"/>
  <c r="D97" i="11" s="1"/>
  <c r="D98" i="11" s="1"/>
  <c r="D99" i="11" s="1"/>
  <c r="D100" i="11" s="1"/>
  <c r="D101" i="11" s="1"/>
  <c r="D102" i="11" s="1"/>
  <c r="D103" i="11" s="1"/>
  <c r="D104" i="11" s="1"/>
  <c r="D105" i="11" s="1"/>
  <c r="D106" i="11" s="1"/>
  <c r="D107" i="11" s="1"/>
  <c r="D108" i="11" s="1"/>
  <c r="D109" i="11" s="1"/>
  <c r="D110" i="11" s="1"/>
  <c r="D111" i="11" s="1"/>
  <c r="D112" i="11" s="1"/>
  <c r="D113" i="11" s="1"/>
  <c r="D114" i="11" s="1"/>
  <c r="D115" i="11" s="1"/>
  <c r="D116" i="11" s="1"/>
  <c r="D117" i="11" s="1"/>
  <c r="D118" i="11" s="1"/>
  <c r="D119" i="11" s="1"/>
  <c r="D120" i="11" s="1"/>
  <c r="D121" i="11" s="1"/>
  <c r="D122" i="11" s="1"/>
  <c r="D123" i="11" s="1"/>
  <c r="D124" i="11" s="1"/>
  <c r="D125" i="11" s="1"/>
  <c r="D126" i="11" s="1"/>
  <c r="D127" i="11" s="1"/>
  <c r="D128" i="11" s="1"/>
  <c r="D129" i="11" s="1"/>
  <c r="D130" i="11" s="1"/>
  <c r="D131" i="11" s="1"/>
  <c r="D132" i="11" s="1"/>
  <c r="D133" i="11" s="1"/>
  <c r="D134" i="11" s="1"/>
  <c r="D135" i="11" s="1"/>
  <c r="D136" i="11" s="1"/>
  <c r="D137" i="11" s="1"/>
  <c r="D138" i="11" s="1"/>
  <c r="D139" i="11" s="1"/>
  <c r="D140" i="11" s="1"/>
  <c r="D141" i="11" s="1"/>
  <c r="F23" i="12"/>
  <c r="G23" i="12" s="1"/>
  <c r="J23" i="12" s="1"/>
  <c r="G48" i="14" s="1"/>
  <c r="F22" i="12"/>
  <c r="G22" i="12" s="1"/>
  <c r="J22" i="12" s="1"/>
  <c r="F4" i="12"/>
  <c r="G4" i="12" s="1"/>
  <c r="J20" i="12"/>
  <c r="G9" i="14" s="1"/>
  <c r="J4" i="12"/>
  <c r="F19" i="12"/>
  <c r="G19" i="12" s="1"/>
  <c r="J19" i="12" s="1"/>
  <c r="G3" i="14" s="1"/>
  <c r="F18" i="12"/>
  <c r="F15" i="12"/>
  <c r="G15" i="12" s="1"/>
  <c r="J15" i="12" s="1"/>
  <c r="G34" i="14" s="1"/>
  <c r="F3" i="12"/>
  <c r="G3" i="12" s="1"/>
  <c r="J3" i="12" s="1"/>
  <c r="F2" i="12"/>
  <c r="G2" i="12" s="1"/>
  <c r="J2" i="12" s="1"/>
  <c r="F25" i="12"/>
  <c r="G25" i="12" s="1"/>
  <c r="J25" i="12" s="1"/>
  <c r="G17" i="14" s="1"/>
  <c r="F24" i="12"/>
  <c r="G24" i="12" s="1"/>
  <c r="J24" i="12" s="1"/>
  <c r="G15" i="14" s="1"/>
  <c r="F21" i="12"/>
  <c r="G21" i="12" s="1"/>
  <c r="J21" i="12" s="1"/>
  <c r="G51" i="14" s="1"/>
  <c r="F17" i="12"/>
  <c r="G17" i="12" s="1"/>
  <c r="J17" i="12" s="1"/>
  <c r="G13" i="14" s="1"/>
  <c r="F16" i="12"/>
  <c r="G16" i="12" s="1"/>
  <c r="J16" i="12" s="1"/>
  <c r="F5" i="12"/>
  <c r="G5" i="12" s="1"/>
  <c r="J5" i="12" s="1"/>
  <c r="G11" i="14" s="1"/>
  <c r="F14" i="12"/>
  <c r="G14" i="12" s="1"/>
  <c r="J14" i="12" s="1"/>
  <c r="F33" i="12"/>
  <c r="G33" i="12" s="1"/>
  <c r="J33" i="12" s="1"/>
  <c r="G28" i="14" s="1"/>
  <c r="F13" i="12"/>
  <c r="G13" i="12" s="1"/>
  <c r="J13" i="12" s="1"/>
  <c r="F32" i="12"/>
  <c r="G32" i="12" s="1"/>
  <c r="J32" i="12" s="1"/>
  <c r="G5" i="14" s="1"/>
  <c r="F12" i="12"/>
  <c r="G12" i="12" s="1"/>
  <c r="J12" i="12" s="1"/>
  <c r="G32" i="14" s="1"/>
  <c r="F31" i="12"/>
  <c r="G31" i="12" s="1"/>
  <c r="J31" i="12" s="1"/>
  <c r="G10" i="14" s="1"/>
  <c r="F11" i="12"/>
  <c r="G11" i="12" s="1"/>
  <c r="J11" i="12" s="1"/>
  <c r="F30" i="12"/>
  <c r="G30" i="12" s="1"/>
  <c r="J30" i="12" s="1"/>
  <c r="G36" i="14" s="1"/>
  <c r="F10" i="12"/>
  <c r="G10" i="12" s="1"/>
  <c r="J10" i="12" s="1"/>
  <c r="F29" i="12"/>
  <c r="G29" i="12" s="1"/>
  <c r="J29" i="12" s="1"/>
  <c r="G35" i="14" s="1"/>
  <c r="F9" i="12"/>
  <c r="G9" i="12" s="1"/>
  <c r="J9" i="12" s="1"/>
  <c r="G49" i="14" s="1"/>
  <c r="F28" i="12"/>
  <c r="G28" i="12" s="1"/>
  <c r="J28" i="12" s="1"/>
  <c r="G6" i="14" s="1"/>
  <c r="F8" i="12"/>
  <c r="G8" i="12" s="1"/>
  <c r="J8" i="12" s="1"/>
  <c r="F27" i="12"/>
  <c r="G27" i="12" s="1"/>
  <c r="J27" i="12" s="1"/>
  <c r="G8" i="14" s="1"/>
  <c r="F7" i="12"/>
  <c r="G7" i="12" s="1"/>
  <c r="J7" i="12" s="1"/>
  <c r="F26" i="12"/>
  <c r="G26" i="12" s="1"/>
  <c r="J26" i="12" s="1"/>
  <c r="G14" i="14" s="1"/>
  <c r="F6" i="12"/>
  <c r="G6" i="12" s="1"/>
  <c r="J6" i="12" s="1"/>
  <c r="G16" i="14" s="1"/>
  <c r="L9" i="11"/>
  <c r="M9" i="11" s="1"/>
  <c r="H10" i="11" s="1"/>
  <c r="H11" i="11" s="1"/>
  <c r="H12" i="11" s="1"/>
  <c r="H13" i="11" s="1"/>
  <c r="H14" i="11" s="1"/>
  <c r="H15" i="11" s="1"/>
  <c r="H16" i="11" s="1"/>
  <c r="H17" i="11" s="1"/>
  <c r="H18" i="11" s="1"/>
  <c r="H19" i="11" s="1"/>
  <c r="H20" i="11" s="1"/>
  <c r="H21" i="11" s="1"/>
  <c r="H22" i="11" s="1"/>
  <c r="H23" i="11" s="1"/>
  <c r="H24" i="11" s="1"/>
  <c r="H25" i="11" s="1"/>
  <c r="H26" i="11" s="1"/>
  <c r="H27" i="11" s="1"/>
  <c r="H28" i="11" s="1"/>
  <c r="H29" i="11" s="1"/>
  <c r="H30" i="11" s="1"/>
  <c r="H31" i="11" s="1"/>
  <c r="H32" i="11" s="1"/>
  <c r="H33" i="11" s="1"/>
  <c r="H34" i="11" s="1"/>
  <c r="H35" i="11" s="1"/>
  <c r="H36" i="11" s="1"/>
  <c r="H37" i="11" s="1"/>
  <c r="H38" i="11" s="1"/>
  <c r="H39" i="11" s="1"/>
  <c r="H40" i="11" s="1"/>
  <c r="H41" i="11" s="1"/>
  <c r="H42" i="11" s="1"/>
  <c r="H43" i="11" s="1"/>
  <c r="H44" i="11" s="1"/>
  <c r="H45" i="11" s="1"/>
  <c r="H46" i="11" s="1"/>
  <c r="H47" i="11" s="1"/>
  <c r="H48" i="11" s="1"/>
  <c r="H49" i="11" s="1"/>
  <c r="H50" i="11" s="1"/>
  <c r="H51" i="11" s="1"/>
  <c r="H52" i="11" s="1"/>
  <c r="H53" i="11" s="1"/>
  <c r="H54" i="11" s="1"/>
  <c r="H55" i="11" s="1"/>
  <c r="H56" i="11" s="1"/>
  <c r="H57" i="11" s="1"/>
  <c r="H58" i="11" s="1"/>
  <c r="H59" i="11" s="1"/>
  <c r="H60" i="11" s="1"/>
  <c r="H61" i="11" s="1"/>
  <c r="H62" i="11" s="1"/>
  <c r="H63" i="11" s="1"/>
  <c r="H64" i="11" s="1"/>
  <c r="H65" i="11" s="1"/>
  <c r="H66" i="11" s="1"/>
  <c r="H67" i="11" s="1"/>
  <c r="H68" i="11" s="1"/>
  <c r="H69" i="11" s="1"/>
  <c r="H70" i="11" s="1"/>
  <c r="H71" i="11" s="1"/>
  <c r="H72" i="11" s="1"/>
  <c r="H73" i="11" s="1"/>
  <c r="H74" i="11" s="1"/>
  <c r="H75" i="11" s="1"/>
  <c r="H76" i="11" s="1"/>
  <c r="H77" i="11" s="1"/>
  <c r="H78" i="11" s="1"/>
  <c r="H79" i="11" s="1"/>
  <c r="H80" i="11" s="1"/>
  <c r="H81" i="11" s="1"/>
  <c r="H82" i="11" s="1"/>
  <c r="H83" i="11" s="1"/>
  <c r="H84" i="11" s="1"/>
  <c r="H85" i="11" s="1"/>
  <c r="H86" i="11" s="1"/>
  <c r="H87" i="11" s="1"/>
  <c r="H88" i="11" s="1"/>
  <c r="H89" i="11" s="1"/>
  <c r="H90" i="11" s="1"/>
  <c r="H91" i="11" s="1"/>
  <c r="H92" i="11" s="1"/>
  <c r="H93" i="11" s="1"/>
  <c r="H94" i="11" s="1"/>
  <c r="H95" i="11" s="1"/>
  <c r="H96" i="11" s="1"/>
  <c r="H97" i="11" s="1"/>
  <c r="H98" i="11" s="1"/>
  <c r="H99" i="11" s="1"/>
  <c r="H100" i="11" s="1"/>
  <c r="H101" i="11" s="1"/>
  <c r="H102" i="11" s="1"/>
  <c r="H103" i="11" s="1"/>
  <c r="H104" i="11" s="1"/>
  <c r="H105" i="11" s="1"/>
  <c r="H106" i="11" s="1"/>
  <c r="H107" i="11" s="1"/>
  <c r="H108" i="11" s="1"/>
  <c r="H109" i="11" s="1"/>
  <c r="H110" i="11" s="1"/>
  <c r="H111" i="11" s="1"/>
  <c r="H112" i="11" s="1"/>
  <c r="H113" i="11" s="1"/>
  <c r="H114" i="11" s="1"/>
  <c r="H115" i="11" s="1"/>
  <c r="H116" i="11" s="1"/>
  <c r="H117" i="11" s="1"/>
  <c r="H118" i="11" s="1"/>
  <c r="H119" i="11" s="1"/>
  <c r="H120" i="11" s="1"/>
  <c r="H121" i="11" s="1"/>
  <c r="H122" i="11" s="1"/>
  <c r="H123" i="11" s="1"/>
  <c r="H124" i="11" s="1"/>
  <c r="H125" i="11" s="1"/>
  <c r="H126" i="11" s="1"/>
  <c r="H127" i="11" s="1"/>
  <c r="H128" i="11" s="1"/>
  <c r="H129" i="11" s="1"/>
  <c r="H130" i="11" s="1"/>
  <c r="H131" i="11" s="1"/>
  <c r="H132" i="11" s="1"/>
  <c r="H133" i="11" s="1"/>
  <c r="H134" i="11" s="1"/>
  <c r="H135" i="11" s="1"/>
  <c r="H136" i="11" s="1"/>
  <c r="H137" i="11" s="1"/>
  <c r="H138" i="11" s="1"/>
  <c r="H139" i="11" s="1"/>
  <c r="H140" i="11" s="1"/>
  <c r="H141" i="11" s="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F32" i="5" s="1"/>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H117" i="5" s="1"/>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F152" i="5" s="1"/>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F194" i="5" s="1"/>
  <c r="E195" i="5"/>
  <c r="H195" i="5" s="1"/>
  <c r="E196" i="5"/>
  <c r="F196" i="5" s="1"/>
  <c r="E197" i="5"/>
  <c r="E198" i="5"/>
  <c r="E199" i="5"/>
  <c r="E200" i="5"/>
  <c r="E201" i="5"/>
  <c r="F201" i="5" s="1"/>
  <c r="E202" i="5"/>
  <c r="G202" i="5" s="1"/>
  <c r="E203" i="5"/>
  <c r="F203" i="5" s="1"/>
  <c r="E204" i="5"/>
  <c r="H204" i="5" s="1"/>
  <c r="E205" i="5"/>
  <c r="E206" i="5"/>
  <c r="E207" i="5"/>
  <c r="E208" i="5"/>
  <c r="E209" i="5"/>
  <c r="E210" i="5"/>
  <c r="E211" i="5"/>
  <c r="E212" i="5"/>
  <c r="E213" i="5"/>
  <c r="E214" i="5"/>
  <c r="F214" i="5" s="1"/>
  <c r="E215" i="5"/>
  <c r="F215" i="5" s="1"/>
  <c r="E216" i="5"/>
  <c r="F216" i="5" s="1"/>
  <c r="E217" i="5"/>
  <c r="F217" i="5" s="1"/>
  <c r="E218" i="5"/>
  <c r="H218" i="5" s="1"/>
  <c r="E219" i="5"/>
  <c r="E220" i="5"/>
  <c r="E221" i="5"/>
  <c r="F221" i="5" s="1"/>
  <c r="E222" i="5"/>
  <c r="F222" i="5" s="1"/>
  <c r="E223" i="5"/>
  <c r="F223" i="5" s="1"/>
  <c r="E224" i="5"/>
  <c r="F224" i="5" s="1"/>
  <c r="E225" i="5"/>
  <c r="G225" i="5" s="1"/>
  <c r="E226" i="5"/>
  <c r="G226" i="5" s="1"/>
  <c r="E227" i="5"/>
  <c r="G227" i="5" s="1"/>
  <c r="E228" i="5"/>
  <c r="H228" i="5" s="1"/>
  <c r="E229" i="5"/>
  <c r="F229" i="5" s="1"/>
  <c r="E230" i="5"/>
  <c r="F230" i="5" s="1"/>
  <c r="E231" i="5"/>
  <c r="F231" i="5" s="1"/>
  <c r="E232" i="5"/>
  <c r="H232" i="5" s="1"/>
  <c r="E233" i="5"/>
  <c r="G233" i="5" s="1"/>
  <c r="E234" i="5"/>
  <c r="G234" i="5" s="1"/>
  <c r="E235" i="5"/>
  <c r="F235" i="5" s="1"/>
  <c r="E236" i="5"/>
  <c r="E237" i="5"/>
  <c r="E238" i="5"/>
  <c r="E239" i="5"/>
  <c r="E240" i="5"/>
  <c r="E241" i="5"/>
  <c r="E242" i="5"/>
  <c r="H242" i="5" s="1"/>
  <c r="E243" i="5"/>
  <c r="F243" i="5" s="1"/>
  <c r="E244" i="5"/>
  <c r="F244" i="5" s="1"/>
  <c r="E245" i="5"/>
  <c r="F245" i="5" s="1"/>
  <c r="E246" i="5"/>
  <c r="G246" i="5" s="1"/>
  <c r="E247" i="5"/>
  <c r="H247" i="5" s="1"/>
  <c r="E248" i="5"/>
  <c r="E249" i="5"/>
  <c r="E250" i="5"/>
  <c r="E251" i="5"/>
  <c r="G251" i="5" s="1"/>
  <c r="E252" i="5"/>
  <c r="F252" i="5" s="1"/>
  <c r="E253" i="5"/>
  <c r="F253" i="5" s="1"/>
  <c r="E254" i="5"/>
  <c r="G254" i="5" s="1"/>
  <c r="E255" i="5"/>
  <c r="F255" i="5" s="1"/>
  <c r="E256" i="5"/>
  <c r="G256" i="5" s="1"/>
  <c r="E257" i="5"/>
  <c r="F257" i="5" s="1"/>
  <c r="E258" i="5"/>
  <c r="H258" i="5" s="1"/>
  <c r="E259" i="5"/>
  <c r="E260" i="5"/>
  <c r="E261" i="5"/>
  <c r="E262" i="5"/>
  <c r="H262" i="5" s="1"/>
  <c r="E263" i="5"/>
  <c r="F263" i="5" s="1"/>
  <c r="E264" i="5"/>
  <c r="E265" i="5"/>
  <c r="E266" i="5"/>
  <c r="E267" i="5"/>
  <c r="E268" i="5"/>
  <c r="H268" i="5" s="1"/>
  <c r="E269" i="5"/>
  <c r="E270" i="5"/>
  <c r="E271" i="5"/>
  <c r="F271" i="5" s="1"/>
  <c r="E272" i="5"/>
  <c r="F272" i="5" s="1"/>
  <c r="E273" i="5"/>
  <c r="F273" i="5" s="1"/>
  <c r="E274" i="5"/>
  <c r="G274" i="5" s="1"/>
  <c r="E275" i="5"/>
  <c r="E276" i="5"/>
  <c r="H276" i="5" s="1"/>
  <c r="E277" i="5"/>
  <c r="F277" i="5" s="1"/>
  <c r="E278" i="5"/>
  <c r="H278" i="5" s="1"/>
  <c r="E279" i="5"/>
  <c r="E280" i="5"/>
  <c r="E281" i="5"/>
  <c r="F281" i="5" s="1"/>
  <c r="E282" i="5"/>
  <c r="F282" i="5" s="1"/>
  <c r="E283" i="5"/>
  <c r="E284" i="5"/>
  <c r="H284" i="5" s="1"/>
  <c r="E285" i="5"/>
  <c r="F285" i="5" s="1"/>
  <c r="E286" i="5"/>
  <c r="F286" i="5" s="1"/>
  <c r="E287" i="5"/>
  <c r="F287" i="5" s="1"/>
  <c r="E288" i="5"/>
  <c r="E289" i="5"/>
  <c r="E290" i="5"/>
  <c r="E291" i="5"/>
  <c r="F291" i="5" s="1"/>
  <c r="E292" i="5"/>
  <c r="F292" i="5" s="1"/>
  <c r="E293" i="5"/>
  <c r="F293" i="5" s="1"/>
  <c r="E294" i="5"/>
  <c r="H294" i="5" s="1"/>
  <c r="E295" i="5"/>
  <c r="G295" i="5" s="1"/>
  <c r="E296" i="5"/>
  <c r="F296" i="5" s="1"/>
  <c r="E297" i="5"/>
  <c r="E298" i="5"/>
  <c r="E299" i="5"/>
  <c r="E300" i="5"/>
  <c r="E301" i="5"/>
  <c r="F301" i="5" s="1"/>
  <c r="E302" i="5"/>
  <c r="G302" i="5" s="1"/>
  <c r="E303" i="5"/>
  <c r="G303" i="5" s="1"/>
  <c r="E304" i="5"/>
  <c r="G304" i="5" s="1"/>
  <c r="E305" i="5"/>
  <c r="F305" i="5" s="1"/>
  <c r="E306" i="5"/>
  <c r="F306" i="5" s="1"/>
  <c r="E307" i="5"/>
  <c r="E308" i="5"/>
  <c r="E309" i="5"/>
  <c r="E310" i="5"/>
  <c r="E311" i="5"/>
  <c r="E312" i="5"/>
  <c r="E313" i="5"/>
  <c r="E314" i="5"/>
  <c r="F314" i="5" s="1"/>
  <c r="E315" i="5"/>
  <c r="F315" i="5" s="1"/>
  <c r="E316" i="5"/>
  <c r="E317" i="5"/>
  <c r="F317" i="5" s="1"/>
  <c r="E318" i="5"/>
  <c r="H318" i="5" s="1"/>
  <c r="E319" i="5"/>
  <c r="E320" i="5"/>
  <c r="E321" i="5"/>
  <c r="F321" i="5" s="1"/>
  <c r="E322" i="5"/>
  <c r="G322" i="5" s="1"/>
  <c r="E323" i="5"/>
  <c r="H323" i="5" s="1"/>
  <c r="E324" i="5"/>
  <c r="F324" i="5" s="1"/>
  <c r="E325" i="5"/>
  <c r="F325" i="5" s="1"/>
  <c r="E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2" i="5"/>
  <c r="G31" i="5"/>
  <c r="G32" i="5"/>
  <c r="H32" i="5"/>
  <c r="G33" i="5"/>
  <c r="H33" i="5"/>
  <c r="G192" i="5"/>
  <c r="H192" i="5"/>
  <c r="G243" i="5"/>
  <c r="H243" i="5"/>
  <c r="H277" i="5"/>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G46" i="14" l="1"/>
  <c r="G31" i="14"/>
  <c r="G42" i="14"/>
  <c r="G23" i="14"/>
  <c r="G22" i="14"/>
  <c r="G41" i="14"/>
  <c r="G43" i="14"/>
  <c r="G24" i="14"/>
  <c r="G25" i="14"/>
  <c r="G44" i="14"/>
  <c r="G50" i="14"/>
  <c r="G47" i="14"/>
  <c r="G27" i="14"/>
  <c r="G29" i="14"/>
  <c r="G53" i="14"/>
  <c r="G54" i="14"/>
  <c r="G33" i="14"/>
  <c r="G52" i="14"/>
  <c r="G30" i="14"/>
  <c r="G4" i="14"/>
  <c r="G55" i="14"/>
  <c r="G12" i="14"/>
  <c r="G26" i="14"/>
  <c r="G45" i="14"/>
  <c r="J10" i="11"/>
  <c r="I10" i="11"/>
  <c r="I11" i="11" s="1"/>
  <c r="I12" i="11" s="1"/>
  <c r="I13" i="11" s="1"/>
  <c r="I14" i="11" s="1"/>
  <c r="I15" i="11" s="1"/>
  <c r="I16" i="11" s="1"/>
  <c r="I17" i="11" s="1"/>
  <c r="I18" i="11" s="1"/>
  <c r="I19" i="11" s="1"/>
  <c r="I20" i="11" s="1"/>
  <c r="I21" i="11" s="1"/>
  <c r="I22" i="11" s="1"/>
  <c r="I23" i="11" s="1"/>
  <c r="I24" i="11" s="1"/>
  <c r="I25" i="11" s="1"/>
  <c r="I26" i="11" s="1"/>
  <c r="I27" i="11" s="1"/>
  <c r="I28" i="11" s="1"/>
  <c r="I29" i="11" s="1"/>
  <c r="I30" i="11" s="1"/>
  <c r="I31" i="11" s="1"/>
  <c r="I32" i="11" s="1"/>
  <c r="I33" i="11" s="1"/>
  <c r="I34" i="11" s="1"/>
  <c r="I35" i="11" s="1"/>
  <c r="I36" i="11" s="1"/>
  <c r="I37" i="11" s="1"/>
  <c r="I38" i="11" s="1"/>
  <c r="I39" i="11" s="1"/>
  <c r="I40" i="11" s="1"/>
  <c r="I41" i="11" s="1"/>
  <c r="I42" i="11" s="1"/>
  <c r="I43" i="11" s="1"/>
  <c r="I44" i="11" s="1"/>
  <c r="I45" i="11" s="1"/>
  <c r="I46" i="11" s="1"/>
  <c r="I47" i="11" s="1"/>
  <c r="I48" i="11" s="1"/>
  <c r="I49" i="11" s="1"/>
  <c r="I50" i="11" s="1"/>
  <c r="I51" i="11" s="1"/>
  <c r="I52" i="11" s="1"/>
  <c r="I53" i="11" s="1"/>
  <c r="I54" i="11" s="1"/>
  <c r="I55" i="11" s="1"/>
  <c r="I56" i="11" s="1"/>
  <c r="I57" i="11" s="1"/>
  <c r="I58" i="11" s="1"/>
  <c r="I59" i="11" s="1"/>
  <c r="I60" i="11" s="1"/>
  <c r="I61" i="11" s="1"/>
  <c r="I62" i="11" s="1"/>
  <c r="I63" i="11" s="1"/>
  <c r="I64" i="11" s="1"/>
  <c r="I65" i="11" s="1"/>
  <c r="I66" i="11" s="1"/>
  <c r="I67" i="11" s="1"/>
  <c r="I68" i="11" s="1"/>
  <c r="I69" i="11" s="1"/>
  <c r="I70" i="11" s="1"/>
  <c r="I71" i="11" s="1"/>
  <c r="I72" i="11" s="1"/>
  <c r="I73" i="11" s="1"/>
  <c r="I74" i="11" s="1"/>
  <c r="I75" i="11" s="1"/>
  <c r="I76" i="11" s="1"/>
  <c r="I77" i="11" s="1"/>
  <c r="I78" i="11" s="1"/>
  <c r="I79" i="11" s="1"/>
  <c r="I80" i="11" s="1"/>
  <c r="I81" i="11" s="1"/>
  <c r="I82" i="11" s="1"/>
  <c r="I83" i="11" s="1"/>
  <c r="I84" i="11" s="1"/>
  <c r="I85" i="11" s="1"/>
  <c r="I86" i="11" s="1"/>
  <c r="I87" i="11" s="1"/>
  <c r="I88" i="11" s="1"/>
  <c r="I89" i="11" s="1"/>
  <c r="I90" i="11" s="1"/>
  <c r="I91" i="11" s="1"/>
  <c r="I92" i="11" s="1"/>
  <c r="I93" i="11" s="1"/>
  <c r="I94" i="11" s="1"/>
  <c r="I95" i="11" s="1"/>
  <c r="I96" i="11" s="1"/>
  <c r="I97" i="11" s="1"/>
  <c r="I98" i="11" s="1"/>
  <c r="I99" i="11" s="1"/>
  <c r="I100" i="11" s="1"/>
  <c r="I101" i="11" s="1"/>
  <c r="I102" i="11" s="1"/>
  <c r="I103" i="11" s="1"/>
  <c r="I104" i="11" s="1"/>
  <c r="I105" i="11" s="1"/>
  <c r="I106" i="11" s="1"/>
  <c r="I107" i="11" s="1"/>
  <c r="I108" i="11" s="1"/>
  <c r="I109" i="11" s="1"/>
  <c r="I110" i="11" s="1"/>
  <c r="I111" i="11" s="1"/>
  <c r="I112" i="11" s="1"/>
  <c r="I113" i="11" s="1"/>
  <c r="I114" i="11" s="1"/>
  <c r="I115" i="11" s="1"/>
  <c r="I116" i="11" s="1"/>
  <c r="I117" i="11" s="1"/>
  <c r="I118" i="11" s="1"/>
  <c r="I119" i="11" s="1"/>
  <c r="I120" i="11" s="1"/>
  <c r="I121" i="11" s="1"/>
  <c r="I122" i="11" s="1"/>
  <c r="I123" i="11" s="1"/>
  <c r="I124" i="11" s="1"/>
  <c r="I125" i="11" s="1"/>
  <c r="I126" i="11" s="1"/>
  <c r="I127" i="11" s="1"/>
  <c r="I128" i="11" s="1"/>
  <c r="I129" i="11" s="1"/>
  <c r="I130" i="11" s="1"/>
  <c r="I131" i="11" s="1"/>
  <c r="I132" i="11" s="1"/>
  <c r="I133" i="11" s="1"/>
  <c r="I134" i="11" s="1"/>
  <c r="I135" i="11" s="1"/>
  <c r="I136" i="11" s="1"/>
  <c r="I137" i="11" s="1"/>
  <c r="I138" i="11" s="1"/>
  <c r="I139" i="11" s="1"/>
  <c r="I140" i="11" s="1"/>
  <c r="I141" i="11" s="1"/>
  <c r="G18" i="12"/>
  <c r="J18" i="12" s="1"/>
  <c r="G7" i="14" s="1"/>
  <c r="F167" i="5"/>
  <c r="G127" i="5"/>
  <c r="H67" i="5"/>
  <c r="F186" i="5"/>
  <c r="F166" i="5"/>
  <c r="G126" i="5"/>
  <c r="F106" i="5"/>
  <c r="H26" i="5"/>
  <c r="F65" i="5"/>
  <c r="F184" i="5"/>
  <c r="F144" i="5"/>
  <c r="G124" i="5"/>
  <c r="F84" i="5"/>
  <c r="G24" i="5"/>
  <c r="F183" i="5"/>
  <c r="G143" i="5"/>
  <c r="F63" i="5"/>
  <c r="H217" i="5"/>
  <c r="H42" i="5"/>
  <c r="H22" i="5"/>
  <c r="F181" i="5"/>
  <c r="F191" i="5"/>
  <c r="F71" i="5"/>
  <c r="F147" i="5"/>
  <c r="F31" i="5"/>
  <c r="F2" i="5"/>
  <c r="F185" i="5"/>
  <c r="G125" i="5"/>
  <c r="G85" i="5"/>
  <c r="G25" i="5"/>
  <c r="F64" i="5"/>
  <c r="H123" i="5"/>
  <c r="F83" i="5"/>
  <c r="G23" i="5"/>
  <c r="G182" i="5"/>
  <c r="H82" i="5"/>
  <c r="G217" i="5"/>
  <c r="F21" i="5"/>
  <c r="F131" i="5"/>
  <c r="F90" i="5"/>
  <c r="H168" i="5"/>
  <c r="H128" i="5"/>
  <c r="H68" i="5"/>
  <c r="G46" i="5"/>
  <c r="H118" i="5"/>
  <c r="H156" i="5"/>
  <c r="G36" i="5"/>
  <c r="H175" i="5"/>
  <c r="G95" i="5"/>
  <c r="G174" i="5"/>
  <c r="F154" i="5"/>
  <c r="G114" i="5"/>
  <c r="F94" i="5"/>
  <c r="F74" i="5"/>
  <c r="F34" i="5"/>
  <c r="G14" i="5"/>
  <c r="F171" i="5"/>
  <c r="F151" i="5"/>
  <c r="G111" i="5"/>
  <c r="G11" i="5"/>
  <c r="F129" i="5"/>
  <c r="F88" i="5"/>
  <c r="H191" i="5"/>
  <c r="H138" i="5"/>
  <c r="F37" i="5"/>
  <c r="F155" i="5"/>
  <c r="G135" i="5"/>
  <c r="H115" i="5"/>
  <c r="H75" i="5"/>
  <c r="G55" i="5"/>
  <c r="G15" i="5"/>
  <c r="G193" i="5"/>
  <c r="F173" i="5"/>
  <c r="G153" i="5"/>
  <c r="H113" i="5"/>
  <c r="G93" i="5"/>
  <c r="F73" i="5"/>
  <c r="F33" i="5"/>
  <c r="G13" i="5"/>
  <c r="F89" i="5"/>
  <c r="H48" i="5"/>
  <c r="F187" i="5"/>
  <c r="F107" i="5"/>
  <c r="G47" i="5"/>
  <c r="F66" i="5"/>
  <c r="H98" i="5"/>
  <c r="H78" i="5"/>
  <c r="H58" i="5"/>
  <c r="F18" i="5"/>
  <c r="F177" i="5"/>
  <c r="F157" i="5"/>
  <c r="F117" i="5"/>
  <c r="F77" i="5"/>
  <c r="F57" i="5"/>
  <c r="F17" i="5"/>
  <c r="G176" i="5"/>
  <c r="F116" i="5"/>
  <c r="G56" i="5"/>
  <c r="F16" i="5"/>
  <c r="H31" i="5"/>
  <c r="F192" i="5"/>
  <c r="F172" i="5"/>
  <c r="G152" i="5"/>
  <c r="F112" i="5"/>
  <c r="F72" i="5"/>
  <c r="G12" i="5"/>
  <c r="F56" i="5"/>
  <c r="F55" i="5"/>
  <c r="F174" i="5"/>
  <c r="G113" i="5"/>
  <c r="H112" i="5"/>
  <c r="G232" i="5"/>
  <c r="G112" i="5"/>
  <c r="H231" i="5"/>
  <c r="H111" i="5"/>
  <c r="F156" i="5"/>
  <c r="G231" i="5"/>
  <c r="H34" i="5"/>
  <c r="F153" i="5"/>
  <c r="G218" i="5"/>
  <c r="G34" i="5"/>
  <c r="H216" i="5"/>
  <c r="F274" i="5"/>
  <c r="F14" i="5"/>
  <c r="F13" i="5"/>
  <c r="G191" i="5"/>
  <c r="F256" i="5"/>
  <c r="F12" i="5"/>
  <c r="H154" i="5"/>
  <c r="F251" i="5"/>
  <c r="F11" i="5"/>
  <c r="G154" i="5"/>
  <c r="F234" i="5"/>
  <c r="H292" i="5"/>
  <c r="H153" i="5"/>
  <c r="F233" i="5"/>
  <c r="G291" i="5"/>
  <c r="F232" i="5"/>
  <c r="G278" i="5"/>
  <c r="H116" i="5"/>
  <c r="G116" i="5"/>
  <c r="F175" i="5"/>
  <c r="F123" i="5"/>
  <c r="F227" i="5"/>
  <c r="F226" i="5"/>
  <c r="F225" i="5"/>
  <c r="G156" i="5"/>
  <c r="G292" i="5"/>
  <c r="H155" i="5"/>
  <c r="H291" i="5"/>
  <c r="G155" i="5"/>
  <c r="G122" i="5"/>
  <c r="F122" i="5"/>
  <c r="H298" i="5"/>
  <c r="G298" i="5"/>
  <c r="H238" i="5"/>
  <c r="G238" i="5"/>
  <c r="H198" i="5"/>
  <c r="G198" i="5"/>
  <c r="H178" i="5"/>
  <c r="G178" i="5"/>
  <c r="H158" i="5"/>
  <c r="G158" i="5"/>
  <c r="H38" i="5"/>
  <c r="G38" i="5"/>
  <c r="F297" i="5"/>
  <c r="H297" i="5"/>
  <c r="F237" i="5"/>
  <c r="G237" i="5"/>
  <c r="H237" i="5"/>
  <c r="F197" i="5"/>
  <c r="H197" i="5"/>
  <c r="F137" i="5"/>
  <c r="G137" i="5"/>
  <c r="F97" i="5"/>
  <c r="G97" i="5"/>
  <c r="G316" i="5"/>
  <c r="F316" i="5"/>
  <c r="F276" i="5"/>
  <c r="G276" i="5"/>
  <c r="F236" i="5"/>
  <c r="G236" i="5"/>
  <c r="H236" i="5"/>
  <c r="F136" i="5"/>
  <c r="G136" i="5"/>
  <c r="H136" i="5"/>
  <c r="F96" i="5"/>
  <c r="G96" i="5"/>
  <c r="H96" i="5"/>
  <c r="H76" i="5"/>
  <c r="G76" i="5"/>
  <c r="G258" i="5"/>
  <c r="G216" i="5"/>
  <c r="G275" i="5"/>
  <c r="H275" i="5"/>
  <c r="G115" i="5"/>
  <c r="F115" i="5"/>
  <c r="G35" i="5"/>
  <c r="H35" i="5"/>
  <c r="F35" i="5"/>
  <c r="G317" i="5"/>
  <c r="H257" i="5"/>
  <c r="H215" i="5"/>
  <c r="G75" i="5"/>
  <c r="G18" i="5"/>
  <c r="F134" i="5"/>
  <c r="G134" i="5"/>
  <c r="H134" i="5"/>
  <c r="G54" i="5"/>
  <c r="F54" i="5"/>
  <c r="F114" i="5"/>
  <c r="H316" i="5"/>
  <c r="G257" i="5"/>
  <c r="G215" i="5"/>
  <c r="H74" i="5"/>
  <c r="H16" i="5"/>
  <c r="F313" i="5"/>
  <c r="G313" i="5"/>
  <c r="H273" i="5"/>
  <c r="G273" i="5"/>
  <c r="F213" i="5"/>
  <c r="G213" i="5"/>
  <c r="H213" i="5"/>
  <c r="H173" i="5"/>
  <c r="G173" i="5"/>
  <c r="F133" i="5"/>
  <c r="G133" i="5"/>
  <c r="H133" i="5"/>
  <c r="F53" i="5"/>
  <c r="G53" i="5"/>
  <c r="F113" i="5"/>
  <c r="H315" i="5"/>
  <c r="H256" i="5"/>
  <c r="H214" i="5"/>
  <c r="G74" i="5"/>
  <c r="G16" i="5"/>
  <c r="G312" i="5"/>
  <c r="F312" i="5"/>
  <c r="H312" i="5"/>
  <c r="G272" i="5"/>
  <c r="H272" i="5"/>
  <c r="F212" i="5"/>
  <c r="G212" i="5"/>
  <c r="H212" i="5"/>
  <c r="G172" i="5"/>
  <c r="H172" i="5"/>
  <c r="H132" i="5"/>
  <c r="F132" i="5"/>
  <c r="H92" i="5"/>
  <c r="G92" i="5"/>
  <c r="F52" i="5"/>
  <c r="G52" i="5"/>
  <c r="H52" i="5"/>
  <c r="G315" i="5"/>
  <c r="G214" i="5"/>
  <c r="H152" i="5"/>
  <c r="H73" i="5"/>
  <c r="H15" i="5"/>
  <c r="G311" i="5"/>
  <c r="H311" i="5"/>
  <c r="F311" i="5"/>
  <c r="G271" i="5"/>
  <c r="H271" i="5"/>
  <c r="G211" i="5"/>
  <c r="H211" i="5"/>
  <c r="G171" i="5"/>
  <c r="H171" i="5"/>
  <c r="G91" i="5"/>
  <c r="H91" i="5"/>
  <c r="G51" i="5"/>
  <c r="F51" i="5"/>
  <c r="H51" i="5"/>
  <c r="F111" i="5"/>
  <c r="H314" i="5"/>
  <c r="H253" i="5"/>
  <c r="G197" i="5"/>
  <c r="G73" i="5"/>
  <c r="F92" i="5"/>
  <c r="G314" i="5"/>
  <c r="G253" i="5"/>
  <c r="H196" i="5"/>
  <c r="H151" i="5"/>
  <c r="H72" i="5"/>
  <c r="F91" i="5"/>
  <c r="H313" i="5"/>
  <c r="H252" i="5"/>
  <c r="G196" i="5"/>
  <c r="G151" i="5"/>
  <c r="G72" i="5"/>
  <c r="F211" i="5"/>
  <c r="F76" i="5"/>
  <c r="H296" i="5"/>
  <c r="G252" i="5"/>
  <c r="G195" i="5"/>
  <c r="G138" i="5"/>
  <c r="H71" i="5"/>
  <c r="F193" i="5"/>
  <c r="G296" i="5"/>
  <c r="H251" i="5"/>
  <c r="H194" i="5"/>
  <c r="G132" i="5"/>
  <c r="G71" i="5"/>
  <c r="G294" i="5"/>
  <c r="G194" i="5"/>
  <c r="H131" i="5"/>
  <c r="H56" i="5"/>
  <c r="H293" i="5"/>
  <c r="H193" i="5"/>
  <c r="G131" i="5"/>
  <c r="F275" i="5"/>
  <c r="F176" i="5"/>
  <c r="G293" i="5"/>
  <c r="G118" i="5"/>
  <c r="H53" i="5"/>
  <c r="G318" i="5"/>
  <c r="H94" i="5"/>
  <c r="F24" i="5"/>
  <c r="H255" i="5"/>
  <c r="H234" i="5"/>
  <c r="G175" i="5"/>
  <c r="G94" i="5"/>
  <c r="H55" i="5"/>
  <c r="F135" i="5"/>
  <c r="F23" i="5"/>
  <c r="G277" i="5"/>
  <c r="G255" i="5"/>
  <c r="H174" i="5"/>
  <c r="G117" i="5"/>
  <c r="H93" i="5"/>
  <c r="H285" i="5"/>
  <c r="F323" i="5"/>
  <c r="F95" i="5"/>
  <c r="G285" i="5"/>
  <c r="G123" i="5"/>
  <c r="H95" i="5"/>
  <c r="F322" i="5"/>
  <c r="H235" i="5"/>
  <c r="H122" i="5"/>
  <c r="F254" i="5"/>
  <c r="F93" i="5"/>
  <c r="F25" i="5"/>
  <c r="G235" i="5"/>
  <c r="F195" i="5"/>
  <c r="H254" i="5"/>
  <c r="H233" i="5"/>
  <c r="H54" i="5"/>
  <c r="F75" i="5"/>
  <c r="F15" i="5"/>
  <c r="G297" i="5"/>
  <c r="H137" i="5"/>
  <c r="F295" i="5"/>
  <c r="F126" i="5"/>
  <c r="H295" i="5"/>
  <c r="H274" i="5"/>
  <c r="H114" i="5"/>
  <c r="H14" i="5"/>
  <c r="F294" i="5"/>
  <c r="F182" i="5"/>
  <c r="F125" i="5"/>
  <c r="H135" i="5"/>
  <c r="F228" i="5"/>
  <c r="F124" i="5"/>
  <c r="H13" i="5"/>
  <c r="H157" i="5"/>
  <c r="G67" i="5"/>
  <c r="G26" i="5"/>
  <c r="H25" i="5"/>
  <c r="H317" i="5"/>
  <c r="G157" i="5"/>
  <c r="H65" i="5"/>
  <c r="G48" i="5"/>
  <c r="G204" i="5"/>
  <c r="G64" i="5"/>
  <c r="H37" i="5"/>
  <c r="G42" i="5"/>
  <c r="G83" i="5"/>
  <c r="F36" i="5"/>
  <c r="H245" i="5"/>
  <c r="H203" i="5"/>
  <c r="H177" i="5"/>
  <c r="G78" i="5"/>
  <c r="H63" i="5"/>
  <c r="G37" i="5"/>
  <c r="F128" i="5"/>
  <c r="H83" i="5"/>
  <c r="F202" i="5"/>
  <c r="H187" i="5"/>
  <c r="G245" i="5"/>
  <c r="G203" i="5"/>
  <c r="G177" i="5"/>
  <c r="H106" i="5"/>
  <c r="H77" i="5"/>
  <c r="G58" i="5"/>
  <c r="H36" i="5"/>
  <c r="H64" i="5"/>
  <c r="H244" i="5"/>
  <c r="G228" i="5"/>
  <c r="H202" i="5"/>
  <c r="H176" i="5"/>
  <c r="G98" i="5"/>
  <c r="G77" i="5"/>
  <c r="H57" i="5"/>
  <c r="G65" i="5"/>
  <c r="G263" i="5"/>
  <c r="G244" i="5"/>
  <c r="H227" i="5"/>
  <c r="H97" i="5"/>
  <c r="G57" i="5"/>
  <c r="G310" i="5"/>
  <c r="H310" i="5"/>
  <c r="F310" i="5"/>
  <c r="G290" i="5"/>
  <c r="H290" i="5"/>
  <c r="G270" i="5"/>
  <c r="H270" i="5"/>
  <c r="G230" i="5"/>
  <c r="H230" i="5"/>
  <c r="G210" i="5"/>
  <c r="H210" i="5"/>
  <c r="F210" i="5"/>
  <c r="G190" i="5"/>
  <c r="H190" i="5"/>
  <c r="F190" i="5"/>
  <c r="G170" i="5"/>
  <c r="H170" i="5"/>
  <c r="G130" i="5"/>
  <c r="H130" i="5"/>
  <c r="F130" i="5"/>
  <c r="G110" i="5"/>
  <c r="H110" i="5"/>
  <c r="F110" i="5"/>
  <c r="G90" i="5"/>
  <c r="H90" i="5"/>
  <c r="G70" i="5"/>
  <c r="H70" i="5"/>
  <c r="G50" i="5"/>
  <c r="H50" i="5"/>
  <c r="G30" i="5"/>
  <c r="H30" i="5"/>
  <c r="F30" i="5"/>
  <c r="G10" i="5"/>
  <c r="F10" i="5"/>
  <c r="G106" i="5"/>
  <c r="H66" i="5"/>
  <c r="G309" i="5"/>
  <c r="H309" i="5"/>
  <c r="F309" i="5"/>
  <c r="G289" i="5"/>
  <c r="H289" i="5"/>
  <c r="F289" i="5"/>
  <c r="G269" i="5"/>
  <c r="H269" i="5"/>
  <c r="G249" i="5"/>
  <c r="H249" i="5"/>
  <c r="G229" i="5"/>
  <c r="H229" i="5"/>
  <c r="G209" i="5"/>
  <c r="H209" i="5"/>
  <c r="F209" i="5"/>
  <c r="G189" i="5"/>
  <c r="H189" i="5"/>
  <c r="F189" i="5"/>
  <c r="G169" i="5"/>
  <c r="H169" i="5"/>
  <c r="G149" i="5"/>
  <c r="H149" i="5"/>
  <c r="G129" i="5"/>
  <c r="H129" i="5"/>
  <c r="G109" i="5"/>
  <c r="H109" i="5"/>
  <c r="F109" i="5"/>
  <c r="G89" i="5"/>
  <c r="H89" i="5"/>
  <c r="G69" i="5"/>
  <c r="H69" i="5"/>
  <c r="G49" i="5"/>
  <c r="H49" i="5"/>
  <c r="G29" i="5"/>
  <c r="H29" i="5"/>
  <c r="F29" i="5"/>
  <c r="G9" i="5"/>
  <c r="F9" i="5"/>
  <c r="G250" i="5"/>
  <c r="H250" i="5"/>
  <c r="G150" i="5"/>
  <c r="H150" i="5"/>
  <c r="F127" i="5"/>
  <c r="F26" i="5"/>
  <c r="G66" i="5"/>
  <c r="H308" i="5"/>
  <c r="F308" i="5"/>
  <c r="G308" i="5"/>
  <c r="H288" i="5"/>
  <c r="F288" i="5"/>
  <c r="H248" i="5"/>
  <c r="G248" i="5"/>
  <c r="H208" i="5"/>
  <c r="G208" i="5"/>
  <c r="F208" i="5"/>
  <c r="H188" i="5"/>
  <c r="G188" i="5"/>
  <c r="F188" i="5"/>
  <c r="H148" i="5"/>
  <c r="G148" i="5"/>
  <c r="H108" i="5"/>
  <c r="F108" i="5"/>
  <c r="H88" i="5"/>
  <c r="G88" i="5"/>
  <c r="H28" i="5"/>
  <c r="F28" i="5"/>
  <c r="G28" i="5"/>
  <c r="F8" i="5"/>
  <c r="G8" i="5"/>
  <c r="H8" i="5"/>
  <c r="G307" i="5"/>
  <c r="F307" i="5"/>
  <c r="H307" i="5"/>
  <c r="F49" i="5"/>
  <c r="H225" i="5"/>
  <c r="H24" i="5"/>
  <c r="F283" i="5"/>
  <c r="G283" i="5"/>
  <c r="H283" i="5"/>
  <c r="G223" i="5"/>
  <c r="H223" i="5"/>
  <c r="H163" i="5"/>
  <c r="F163" i="5"/>
  <c r="G163" i="5"/>
  <c r="G43" i="5"/>
  <c r="H43" i="5"/>
  <c r="G3" i="5"/>
  <c r="H3" i="5"/>
  <c r="F3" i="5"/>
  <c r="F248" i="5"/>
  <c r="F148" i="5"/>
  <c r="F48" i="5"/>
  <c r="G185" i="5"/>
  <c r="G63" i="5"/>
  <c r="G282" i="5"/>
  <c r="H282" i="5"/>
  <c r="G262" i="5"/>
  <c r="F262" i="5"/>
  <c r="G242" i="5"/>
  <c r="F242" i="5"/>
  <c r="G222" i="5"/>
  <c r="H222" i="5"/>
  <c r="G162" i="5"/>
  <c r="H162" i="5"/>
  <c r="F162" i="5"/>
  <c r="G142" i="5"/>
  <c r="F142" i="5"/>
  <c r="G102" i="5"/>
  <c r="H102" i="5"/>
  <c r="G82" i="5"/>
  <c r="F82" i="5"/>
  <c r="G62" i="5"/>
  <c r="H62" i="5"/>
  <c r="F62" i="5"/>
  <c r="F22" i="5"/>
  <c r="G22" i="5"/>
  <c r="F247" i="5"/>
  <c r="F47" i="5"/>
  <c r="H184" i="5"/>
  <c r="G168" i="5"/>
  <c r="H23" i="5"/>
  <c r="H321" i="5"/>
  <c r="G321" i="5"/>
  <c r="H301" i="5"/>
  <c r="G301" i="5"/>
  <c r="H281" i="5"/>
  <c r="G281" i="5"/>
  <c r="H261" i="5"/>
  <c r="G261" i="5"/>
  <c r="F261" i="5"/>
  <c r="H241" i="5"/>
  <c r="G241" i="5"/>
  <c r="F241" i="5"/>
  <c r="H221" i="5"/>
  <c r="G221" i="5"/>
  <c r="H201" i="5"/>
  <c r="G201" i="5"/>
  <c r="H181" i="5"/>
  <c r="G181" i="5"/>
  <c r="H161" i="5"/>
  <c r="G161" i="5"/>
  <c r="F161" i="5"/>
  <c r="H141" i="5"/>
  <c r="F141" i="5"/>
  <c r="G141" i="5"/>
  <c r="H121" i="5"/>
  <c r="F121" i="5"/>
  <c r="G121" i="5"/>
  <c r="H101" i="5"/>
  <c r="F101" i="5"/>
  <c r="G101" i="5"/>
  <c r="H81" i="5"/>
  <c r="F81" i="5"/>
  <c r="G81" i="5"/>
  <c r="H61" i="5"/>
  <c r="G61" i="5"/>
  <c r="F61" i="5"/>
  <c r="H41" i="5"/>
  <c r="G41" i="5"/>
  <c r="G21" i="5"/>
  <c r="H21" i="5"/>
  <c r="G205" i="5"/>
  <c r="H205" i="5"/>
  <c r="G103" i="5"/>
  <c r="H103" i="5"/>
  <c r="G144" i="5"/>
  <c r="F304" i="5"/>
  <c r="F269" i="5"/>
  <c r="F205" i="5"/>
  <c r="F169" i="5"/>
  <c r="H303" i="5"/>
  <c r="G287" i="5"/>
  <c r="H124" i="5"/>
  <c r="G108" i="5"/>
  <c r="H183" i="5"/>
  <c r="F303" i="5"/>
  <c r="F268" i="5"/>
  <c r="F204" i="5"/>
  <c r="F168" i="5"/>
  <c r="H286" i="5"/>
  <c r="G268" i="5"/>
  <c r="H246" i="5"/>
  <c r="H107" i="5"/>
  <c r="H84" i="5"/>
  <c r="G68" i="5"/>
  <c r="G267" i="5"/>
  <c r="H267" i="5"/>
  <c r="F207" i="5"/>
  <c r="G207" i="5"/>
  <c r="H207" i="5"/>
  <c r="G147" i="5"/>
  <c r="H147" i="5"/>
  <c r="H87" i="5"/>
  <c r="F87" i="5"/>
  <c r="G87" i="5"/>
  <c r="F27" i="5"/>
  <c r="G27" i="5"/>
  <c r="H27" i="5"/>
  <c r="F7" i="5"/>
  <c r="G7" i="5"/>
  <c r="H7" i="5"/>
  <c r="G187" i="5"/>
  <c r="G2" i="5"/>
  <c r="H2" i="5"/>
  <c r="G266" i="5"/>
  <c r="H266" i="5"/>
  <c r="F266" i="5"/>
  <c r="G206" i="5"/>
  <c r="H206" i="5"/>
  <c r="G146" i="5"/>
  <c r="H146" i="5"/>
  <c r="F86" i="5"/>
  <c r="G86" i="5"/>
  <c r="H86" i="5"/>
  <c r="F6" i="5"/>
  <c r="G6" i="5"/>
  <c r="H6" i="5"/>
  <c r="H226" i="5"/>
  <c r="H186" i="5"/>
  <c r="H47" i="5"/>
  <c r="H325" i="5"/>
  <c r="G325" i="5"/>
  <c r="F265" i="5"/>
  <c r="G265" i="5"/>
  <c r="H265" i="5"/>
  <c r="F165" i="5"/>
  <c r="G165" i="5"/>
  <c r="G145" i="5"/>
  <c r="H145" i="5"/>
  <c r="F105" i="5"/>
  <c r="G105" i="5"/>
  <c r="H105" i="5"/>
  <c r="H85" i="5"/>
  <c r="F85" i="5"/>
  <c r="G45" i="5"/>
  <c r="H45" i="5"/>
  <c r="G5" i="5"/>
  <c r="H5" i="5"/>
  <c r="F250" i="5"/>
  <c r="F150" i="5"/>
  <c r="F50" i="5"/>
  <c r="G186" i="5"/>
  <c r="G324" i="5"/>
  <c r="H324" i="5"/>
  <c r="G284" i="5"/>
  <c r="F284" i="5"/>
  <c r="G264" i="5"/>
  <c r="F264" i="5"/>
  <c r="H264" i="5"/>
  <c r="G224" i="5"/>
  <c r="H224" i="5"/>
  <c r="G164" i="5"/>
  <c r="F164" i="5"/>
  <c r="H164" i="5"/>
  <c r="G104" i="5"/>
  <c r="H104" i="5"/>
  <c r="H44" i="5"/>
  <c r="G44" i="5"/>
  <c r="G4" i="5"/>
  <c r="H4" i="5"/>
  <c r="F290" i="5"/>
  <c r="F249" i="5"/>
  <c r="F149" i="5"/>
  <c r="H185" i="5"/>
  <c r="H46" i="5"/>
  <c r="F246" i="5"/>
  <c r="F146" i="5"/>
  <c r="F46" i="5"/>
  <c r="G184" i="5"/>
  <c r="H167" i="5"/>
  <c r="H144" i="5"/>
  <c r="G128" i="5"/>
  <c r="F320" i="5"/>
  <c r="G320" i="5"/>
  <c r="H320" i="5"/>
  <c r="F300" i="5"/>
  <c r="G300" i="5"/>
  <c r="H300" i="5"/>
  <c r="F280" i="5"/>
  <c r="G280" i="5"/>
  <c r="H280" i="5"/>
  <c r="F260" i="5"/>
  <c r="G260" i="5"/>
  <c r="H260" i="5"/>
  <c r="F240" i="5"/>
  <c r="G240" i="5"/>
  <c r="H240" i="5"/>
  <c r="F220" i="5"/>
  <c r="G220" i="5"/>
  <c r="H220" i="5"/>
  <c r="F200" i="5"/>
  <c r="G200" i="5"/>
  <c r="H200" i="5"/>
  <c r="F180" i="5"/>
  <c r="G180" i="5"/>
  <c r="H180" i="5"/>
  <c r="F160" i="5"/>
  <c r="G160" i="5"/>
  <c r="H160" i="5"/>
  <c r="F140" i="5"/>
  <c r="G140" i="5"/>
  <c r="H140" i="5"/>
  <c r="F120" i="5"/>
  <c r="G120" i="5"/>
  <c r="H120" i="5"/>
  <c r="F100" i="5"/>
  <c r="G100" i="5"/>
  <c r="H100" i="5"/>
  <c r="F80" i="5"/>
  <c r="G80" i="5"/>
  <c r="H80" i="5"/>
  <c r="F60" i="5"/>
  <c r="G60" i="5"/>
  <c r="H60" i="5"/>
  <c r="F40" i="5"/>
  <c r="G40" i="5"/>
  <c r="H40" i="5"/>
  <c r="F20" i="5"/>
  <c r="G20" i="5"/>
  <c r="H20" i="5"/>
  <c r="F145" i="5"/>
  <c r="F45" i="5"/>
  <c r="H306" i="5"/>
  <c r="G167" i="5"/>
  <c r="H127" i="5"/>
  <c r="G319" i="5"/>
  <c r="H319" i="5"/>
  <c r="F319" i="5"/>
  <c r="G299" i="5"/>
  <c r="H299" i="5"/>
  <c r="F299" i="5"/>
  <c r="G279" i="5"/>
  <c r="H279" i="5"/>
  <c r="F279" i="5"/>
  <c r="G259" i="5"/>
  <c r="H259" i="5"/>
  <c r="F259" i="5"/>
  <c r="G239" i="5"/>
  <c r="H239" i="5"/>
  <c r="F239" i="5"/>
  <c r="G219" i="5"/>
  <c r="H219" i="5"/>
  <c r="F219" i="5"/>
  <c r="G199" i="5"/>
  <c r="H199" i="5"/>
  <c r="F199" i="5"/>
  <c r="G179" i="5"/>
  <c r="H179" i="5"/>
  <c r="F179" i="5"/>
  <c r="G159" i="5"/>
  <c r="H159" i="5"/>
  <c r="F159" i="5"/>
  <c r="G139" i="5"/>
  <c r="H139" i="5"/>
  <c r="F139" i="5"/>
  <c r="G119" i="5"/>
  <c r="H119" i="5"/>
  <c r="F119" i="5"/>
  <c r="G99" i="5"/>
  <c r="H99" i="5"/>
  <c r="F99" i="5"/>
  <c r="G79" i="5"/>
  <c r="H79" i="5"/>
  <c r="F79" i="5"/>
  <c r="G59" i="5"/>
  <c r="H59" i="5"/>
  <c r="F59" i="5"/>
  <c r="G39" i="5"/>
  <c r="H39" i="5"/>
  <c r="F39" i="5"/>
  <c r="F19" i="5"/>
  <c r="G19" i="5"/>
  <c r="H19" i="5"/>
  <c r="F70" i="5"/>
  <c r="F44" i="5"/>
  <c r="F5" i="5"/>
  <c r="G306" i="5"/>
  <c r="G183" i="5"/>
  <c r="H166" i="5"/>
  <c r="H143" i="5"/>
  <c r="F143" i="5"/>
  <c r="F69" i="5"/>
  <c r="F43" i="5"/>
  <c r="F4" i="5"/>
  <c r="H305" i="5"/>
  <c r="H182" i="5"/>
  <c r="G166" i="5"/>
  <c r="H126" i="5"/>
  <c r="F104" i="5"/>
  <c r="F68" i="5"/>
  <c r="F42" i="5"/>
  <c r="G323" i="5"/>
  <c r="G305" i="5"/>
  <c r="H165" i="5"/>
  <c r="H142" i="5"/>
  <c r="F103" i="5"/>
  <c r="F67" i="5"/>
  <c r="F41" i="5"/>
  <c r="H322" i="5"/>
  <c r="H304" i="5"/>
  <c r="G288" i="5"/>
  <c r="H125" i="5"/>
  <c r="F270" i="5"/>
  <c r="F206" i="5"/>
  <c r="F170" i="5"/>
  <c r="F102" i="5"/>
  <c r="H287" i="5"/>
  <c r="G247" i="5"/>
  <c r="F302" i="5"/>
  <c r="F267" i="5"/>
  <c r="H302" i="5"/>
  <c r="G286" i="5"/>
  <c r="H263" i="5"/>
  <c r="G107" i="5"/>
  <c r="G84" i="5"/>
  <c r="F38" i="5"/>
  <c r="F318" i="5"/>
  <c r="F298" i="5"/>
  <c r="F278" i="5"/>
  <c r="F258" i="5"/>
  <c r="F238" i="5"/>
  <c r="F218" i="5"/>
  <c r="F198" i="5"/>
  <c r="F178" i="5"/>
  <c r="F158" i="5"/>
  <c r="F138" i="5"/>
  <c r="F118" i="5"/>
  <c r="F98" i="5"/>
  <c r="F78" i="5"/>
  <c r="F58" i="5"/>
  <c r="H18" i="5"/>
  <c r="H17" i="5"/>
  <c r="G17" i="5"/>
  <c r="H12" i="5"/>
  <c r="H11" i="5"/>
  <c r="H10" i="5"/>
  <c r="H9" i="5"/>
  <c r="D11" i="10" l="1"/>
  <c r="C11" i="10"/>
  <c r="D10" i="10"/>
  <c r="C10" i="10"/>
  <c r="C8" i="10"/>
  <c r="C20" i="10" s="1"/>
  <c r="E20" i="10" s="1"/>
  <c r="F20" i="10" s="1"/>
  <c r="G7" i="13" s="1"/>
  <c r="D8" i="10"/>
  <c r="C5" i="10"/>
  <c r="C17" i="10" s="1"/>
  <c r="E17" i="10" s="1"/>
  <c r="F17" i="10" s="1"/>
  <c r="G4" i="13" s="1"/>
  <c r="D5" i="10"/>
  <c r="C3" i="10"/>
  <c r="C6" i="10"/>
  <c r="C18" i="10" s="1"/>
  <c r="E18" i="10" s="1"/>
  <c r="F18" i="10" s="1"/>
  <c r="G5" i="13" s="1"/>
  <c r="D6" i="10"/>
  <c r="D3" i="10"/>
  <c r="C9" i="10"/>
  <c r="C21" i="10" s="1"/>
  <c r="E21" i="10" s="1"/>
  <c r="F21" i="10" s="1"/>
  <c r="G8" i="13" s="1"/>
  <c r="D9" i="10"/>
  <c r="D7" i="10"/>
  <c r="C4" i="10"/>
  <c r="C16" i="10" s="1"/>
  <c r="E16" i="10" s="1"/>
  <c r="F16" i="10" s="1"/>
  <c r="G3" i="13" s="1"/>
  <c r="D4" i="10"/>
  <c r="C7" i="10"/>
  <c r="C19" i="10" s="1"/>
  <c r="E19" i="10" s="1"/>
  <c r="F19" i="10" s="1"/>
  <c r="G6" i="13" s="1"/>
  <c r="K10" i="11"/>
  <c r="J11" i="11"/>
  <c r="J12" i="11" s="1"/>
  <c r="J13" i="11" s="1"/>
  <c r="J14" i="11" s="1"/>
  <c r="J15" i="11" s="1"/>
  <c r="J16" i="11" s="1"/>
  <c r="J17" i="11" s="1"/>
  <c r="J18" i="11" s="1"/>
  <c r="J19" i="11" s="1"/>
  <c r="J20" i="11" s="1"/>
  <c r="J21" i="11" s="1"/>
  <c r="J22" i="11" s="1"/>
  <c r="J23" i="11" s="1"/>
  <c r="J24" i="11" s="1"/>
  <c r="J25" i="11" s="1"/>
  <c r="J26" i="11" s="1"/>
  <c r="J27" i="11" s="1"/>
  <c r="J28" i="11" s="1"/>
  <c r="J29" i="11" s="1"/>
  <c r="J30" i="11" s="1"/>
  <c r="J31" i="11" s="1"/>
  <c r="J32" i="11" s="1"/>
  <c r="J33" i="11" s="1"/>
  <c r="J34" i="11" s="1"/>
  <c r="J35" i="11" s="1"/>
  <c r="J36" i="11" s="1"/>
  <c r="J37" i="11" s="1"/>
  <c r="J38" i="11" s="1"/>
  <c r="J39" i="11" s="1"/>
  <c r="J40" i="11" s="1"/>
  <c r="J41" i="11" s="1"/>
  <c r="J42" i="11" s="1"/>
  <c r="J43" i="11" s="1"/>
  <c r="J44" i="11" s="1"/>
  <c r="J45" i="11" s="1"/>
  <c r="J46" i="11" s="1"/>
  <c r="J47" i="11" s="1"/>
  <c r="J48" i="11" s="1"/>
  <c r="J49" i="11" s="1"/>
  <c r="J50" i="11" s="1"/>
  <c r="J51" i="11" s="1"/>
  <c r="J52" i="11" s="1"/>
  <c r="J53" i="11" s="1"/>
  <c r="J54" i="11" s="1"/>
  <c r="J55" i="11" s="1"/>
  <c r="J56" i="11" s="1"/>
  <c r="J57" i="11" s="1"/>
  <c r="J58" i="11" s="1"/>
  <c r="J59" i="11" s="1"/>
  <c r="J60" i="11" s="1"/>
  <c r="J61" i="11" s="1"/>
  <c r="J62" i="11" s="1"/>
  <c r="J63" i="11" s="1"/>
  <c r="J64" i="11" s="1"/>
  <c r="J65" i="11" s="1"/>
  <c r="J66" i="11" s="1"/>
  <c r="J67" i="11" s="1"/>
  <c r="J68" i="11" s="1"/>
  <c r="J69" i="11" s="1"/>
  <c r="J70" i="11" s="1"/>
  <c r="J71" i="11" s="1"/>
  <c r="J72" i="11" s="1"/>
  <c r="J73" i="11" s="1"/>
  <c r="J74" i="11" s="1"/>
  <c r="J75" i="11" s="1"/>
  <c r="J76" i="11" s="1"/>
  <c r="J77" i="11" s="1"/>
  <c r="J78" i="11" s="1"/>
  <c r="J79" i="11" s="1"/>
  <c r="J80" i="11" s="1"/>
  <c r="J81" i="11" s="1"/>
  <c r="J82" i="11" s="1"/>
  <c r="J83" i="11" s="1"/>
  <c r="J84" i="11" s="1"/>
  <c r="J85" i="11" s="1"/>
  <c r="J86" i="11" s="1"/>
  <c r="J87" i="11" s="1"/>
  <c r="J88" i="11" s="1"/>
  <c r="J89" i="11" s="1"/>
  <c r="J90" i="11" s="1"/>
  <c r="J91" i="11" s="1"/>
  <c r="J92" i="11" s="1"/>
  <c r="J93" i="11" s="1"/>
  <c r="J94" i="11" s="1"/>
  <c r="J95" i="11" s="1"/>
  <c r="J96" i="11" s="1"/>
  <c r="J97" i="11" s="1"/>
  <c r="J98" i="11" s="1"/>
  <c r="J99" i="11" s="1"/>
  <c r="J100" i="11" s="1"/>
  <c r="J101" i="11" s="1"/>
  <c r="J102" i="11" s="1"/>
  <c r="J103" i="11" s="1"/>
  <c r="J104" i="11" s="1"/>
  <c r="J105" i="11" s="1"/>
  <c r="J106" i="11" s="1"/>
  <c r="J107" i="11" s="1"/>
  <c r="J108" i="11" s="1"/>
  <c r="J109" i="11" s="1"/>
  <c r="J110" i="11" s="1"/>
  <c r="J111" i="11" s="1"/>
  <c r="J112" i="11" s="1"/>
  <c r="J113" i="11" s="1"/>
  <c r="J114" i="11" s="1"/>
  <c r="J115" i="11" s="1"/>
  <c r="J116" i="11" s="1"/>
  <c r="J117" i="11" s="1"/>
  <c r="J118" i="11" s="1"/>
  <c r="J119" i="11" s="1"/>
  <c r="J120" i="11" s="1"/>
  <c r="J121" i="11" s="1"/>
  <c r="J122" i="11" s="1"/>
  <c r="J123" i="11" s="1"/>
  <c r="J124" i="11" s="1"/>
  <c r="J125" i="11" s="1"/>
  <c r="J126" i="11" s="1"/>
  <c r="J127" i="11" s="1"/>
  <c r="J128" i="11" s="1"/>
  <c r="J129" i="11" s="1"/>
  <c r="J130" i="11" s="1"/>
  <c r="J131" i="11" s="1"/>
  <c r="J132" i="11" s="1"/>
  <c r="J133" i="11" s="1"/>
  <c r="J134" i="11" s="1"/>
  <c r="J135" i="11" s="1"/>
  <c r="J136" i="11" s="1"/>
  <c r="J137" i="11" s="1"/>
  <c r="J138" i="11" s="1"/>
  <c r="J139" i="11" s="1"/>
  <c r="J140" i="11" s="1"/>
  <c r="J141" i="11" s="1"/>
  <c r="C23" i="10"/>
  <c r="E23" i="10" s="1"/>
  <c r="F23" i="10" s="1"/>
  <c r="G10" i="13" s="1"/>
  <c r="E5" i="10" l="1"/>
  <c r="F5" i="10" s="1"/>
  <c r="F4" i="13" s="1"/>
  <c r="K11" i="11"/>
  <c r="K12" i="11"/>
  <c r="E10" i="10"/>
  <c r="F10" i="10" s="1"/>
  <c r="F9" i="13" s="1"/>
  <c r="C22" i="10"/>
  <c r="E22" i="10" s="1"/>
  <c r="F22" i="10" s="1"/>
  <c r="G9" i="13" s="1"/>
  <c r="E3" i="10"/>
  <c r="C15" i="10"/>
  <c r="E15" i="10" s="1"/>
  <c r="F15" i="10" s="1"/>
  <c r="G2" i="13" s="1"/>
  <c r="E6" i="10"/>
  <c r="F6" i="10" s="1"/>
  <c r="F5" i="13" s="1"/>
  <c r="E9" i="10"/>
  <c r="F9" i="10" s="1"/>
  <c r="F8" i="13" s="1"/>
  <c r="E8" i="10"/>
  <c r="F8" i="10" s="1"/>
  <c r="F7" i="13" s="1"/>
  <c r="E11" i="10"/>
  <c r="F11" i="10" s="1"/>
  <c r="F10" i="13" s="1"/>
  <c r="E7" i="10"/>
  <c r="F7" i="10" s="1"/>
  <c r="F6" i="13" s="1"/>
  <c r="E4" i="10"/>
  <c r="F4" i="10" s="1"/>
  <c r="F3" i="13" s="1"/>
  <c r="F3" i="10" l="1"/>
  <c r="F2" i="13" s="1"/>
  <c r="K13" i="11"/>
  <c r="K14" i="11" l="1"/>
  <c r="K15" i="11" l="1"/>
  <c r="K16" i="11" l="1"/>
  <c r="K17" i="11" l="1"/>
  <c r="K18" i="11" l="1"/>
  <c r="K19" i="11" l="1"/>
  <c r="K20" i="11" l="1"/>
  <c r="K21" i="11" l="1"/>
  <c r="K22" i="11" l="1"/>
  <c r="K23" i="11" l="1"/>
  <c r="K24" i="11" l="1"/>
  <c r="K25" i="11" l="1"/>
  <c r="K26" i="11" l="1"/>
  <c r="K27" i="11" l="1"/>
  <c r="K28" i="11" l="1"/>
  <c r="K29" i="11" l="1"/>
  <c r="K30" i="11" l="1"/>
  <c r="K31" i="11" l="1"/>
  <c r="K32" i="11" l="1"/>
  <c r="K33" i="11" l="1"/>
  <c r="K34" i="11" l="1"/>
  <c r="K35" i="11" l="1"/>
  <c r="K36" i="11" l="1"/>
  <c r="K37" i="11" l="1"/>
  <c r="K38" i="11" l="1"/>
  <c r="K39" i="11" l="1"/>
  <c r="K40" i="11" l="1"/>
  <c r="K41" i="11" l="1"/>
  <c r="K42" i="11" l="1"/>
  <c r="K43" i="11" l="1"/>
  <c r="K44" i="11" l="1"/>
  <c r="K45" i="11" l="1"/>
  <c r="K46" i="11" l="1"/>
  <c r="K47" i="11" l="1"/>
  <c r="K48" i="11" l="1"/>
  <c r="K49" i="11" l="1"/>
  <c r="K50" i="11" l="1"/>
  <c r="K51" i="11" l="1"/>
  <c r="K52" i="11" l="1"/>
  <c r="K53" i="11" l="1"/>
  <c r="K54" i="11" l="1"/>
  <c r="K55" i="11" l="1"/>
  <c r="K56" i="11" l="1"/>
  <c r="K57" i="11" l="1"/>
  <c r="K58" i="11" l="1"/>
  <c r="K59" i="11" l="1"/>
  <c r="K60" i="11" l="1"/>
  <c r="K61" i="11" l="1"/>
  <c r="K62" i="11" l="1"/>
  <c r="K63" i="11" l="1"/>
  <c r="K64" i="11" l="1"/>
  <c r="K65" i="11" l="1"/>
  <c r="K66" i="11" l="1"/>
  <c r="K67" i="11" l="1"/>
  <c r="K68" i="11" l="1"/>
  <c r="K69" i="11" l="1"/>
  <c r="K70" i="11" l="1"/>
  <c r="K71" i="11" l="1"/>
  <c r="K72" i="11" l="1"/>
  <c r="K73" i="11" l="1"/>
  <c r="K74" i="11" l="1"/>
  <c r="K75" i="11" l="1"/>
  <c r="K76" i="11" l="1"/>
  <c r="K77" i="11" l="1"/>
  <c r="K78" i="11" l="1"/>
  <c r="K79" i="11" l="1"/>
  <c r="K80" i="11" l="1"/>
  <c r="K81" i="11" l="1"/>
  <c r="K82" i="11" l="1"/>
  <c r="K83" i="11" l="1"/>
  <c r="K84" i="11" l="1"/>
  <c r="K85" i="11" l="1"/>
  <c r="K86" i="11" l="1"/>
  <c r="K87" i="11" l="1"/>
  <c r="K88" i="11" l="1"/>
  <c r="K89" i="11" l="1"/>
  <c r="K90" i="11" l="1"/>
  <c r="K91" i="11" l="1"/>
  <c r="K92" i="11" l="1"/>
  <c r="K93" i="11" l="1"/>
  <c r="K94" i="11" l="1"/>
  <c r="K95" i="11" l="1"/>
  <c r="K96" i="11" l="1"/>
  <c r="K97" i="11" l="1"/>
  <c r="K98" i="11" l="1"/>
  <c r="K99" i="11" l="1"/>
  <c r="K100" i="11" l="1"/>
  <c r="K101" i="11" l="1"/>
  <c r="K102" i="11" l="1"/>
  <c r="K103" i="11" l="1"/>
  <c r="K104" i="11" l="1"/>
  <c r="K105" i="11" l="1"/>
  <c r="K106" i="11" l="1"/>
  <c r="K107" i="11" l="1"/>
  <c r="K108" i="11" l="1"/>
  <c r="K109" i="11" l="1"/>
  <c r="K110" i="11" l="1"/>
  <c r="K111" i="11" l="1"/>
  <c r="K112" i="11" l="1"/>
  <c r="K113" i="11" l="1"/>
  <c r="K114" i="11" l="1"/>
  <c r="K115" i="11" l="1"/>
  <c r="K116" i="11" l="1"/>
  <c r="K117" i="11" l="1"/>
  <c r="K118" i="11" l="1"/>
  <c r="K119" i="11" l="1"/>
  <c r="K120" i="11" l="1"/>
  <c r="K121" i="11" l="1"/>
  <c r="K122" i="11" l="1"/>
  <c r="K123" i="11" l="1"/>
  <c r="K124" i="11" l="1"/>
  <c r="K125" i="11" l="1"/>
  <c r="K126" i="11" l="1"/>
  <c r="K127" i="11" l="1"/>
  <c r="K128" i="11" l="1"/>
  <c r="K129" i="11" l="1"/>
  <c r="K130" i="11" l="1"/>
  <c r="K131" i="11" l="1"/>
  <c r="K132" i="11" l="1"/>
  <c r="K133" i="11" l="1"/>
  <c r="K134" i="11" l="1"/>
  <c r="K135" i="11" l="1"/>
  <c r="K136" i="11" l="1"/>
  <c r="K137" i="11" l="1"/>
  <c r="K138" i="11" l="1"/>
  <c r="K139" i="11" l="1"/>
  <c r="K141" i="11" l="1"/>
  <c r="K140" i="11"/>
</calcChain>
</file>

<file path=xl/sharedStrings.xml><?xml version="1.0" encoding="utf-8"?>
<sst xmlns="http://schemas.openxmlformats.org/spreadsheetml/2006/main" count="1097" uniqueCount="198">
  <si>
    <t>caldt</t>
  </si>
  <si>
    <t>crsp_fundno</t>
  </si>
  <si>
    <t>mtna</t>
  </si>
  <si>
    <t>mret</t>
  </si>
  <si>
    <t>Ticker</t>
  </si>
  <si>
    <t>Fund Name</t>
  </si>
  <si>
    <t>Fund Age (Approx.)</t>
  </si>
  <si>
    <t>Current Fund Manager(s)</t>
  </si>
  <si>
    <t>Manager Tenure</t>
  </si>
  <si>
    <t>Manager Education</t>
  </si>
  <si>
    <t>Total AUM</t>
  </si>
  <si>
    <t>Expense Ratio</t>
  </si>
  <si>
    <t>Portfolio Turnover</t>
  </si>
  <si>
    <t>Investment Style</t>
  </si>
  <si>
    <t>Investment Strategy</t>
  </si>
  <si>
    <t>Macquarie Growth and Income Fund</t>
  </si>
  <si>
    <t>FGINX</t>
  </si>
  <si>
    <t>32 years</t>
  </si>
  <si>
    <t>Leung/Vanza</t>
  </si>
  <si>
    <t>N/A</t>
  </si>
  <si>
    <t>Not readily available</t>
  </si>
  <si>
    <t>$1.5 Billion</t>
  </si>
  <si>
    <t>Large Value</t>
  </si>
  <si>
    <t>Seeks long-term growth of capital and current income by investing primarily in common stocks, focusing on high-quality companies with strong and growing dividends.</t>
  </si>
  <si>
    <t>security_name</t>
  </si>
  <si>
    <t>CISCO SYSTEMS INC</t>
  </si>
  <si>
    <t>EXXON MOBIL CORP</t>
  </si>
  <si>
    <t>PHILIP MORRIS INTERNATIONAL INC</t>
  </si>
  <si>
    <t>CITIGROUP INC</t>
  </si>
  <si>
    <t>GILEAD SCIENCES INC</t>
  </si>
  <si>
    <t>C V S HEALTH CORP</t>
  </si>
  <si>
    <t>CIGNA GROUP</t>
  </si>
  <si>
    <t>MCKESSON H B O C INC</t>
  </si>
  <si>
    <t>BOOKING HOLDINGS INC</t>
  </si>
  <si>
    <t>META PLATFORMS INC</t>
  </si>
  <si>
    <t>BRISTOL MYERS SQUIBB CO</t>
  </si>
  <si>
    <t>WELLS FARGO &amp; CO NEW</t>
  </si>
  <si>
    <t>P N C FINANCIAL SERVICES GRP INC</t>
  </si>
  <si>
    <t>T J X COMPANIES INC NEW</t>
  </si>
  <si>
    <t>VERIZON COMMUNICATIONS INC</t>
  </si>
  <si>
    <t>Virtus Silvant Focused Growth Fund</t>
  </si>
  <si>
    <t>41 years</t>
  </si>
  <si>
    <t>Sansoterra/Bhatia/Allen</t>
  </si>
  <si>
    <t>Since 07/25/2022</t>
  </si>
  <si>
    <t>$1.86 Billion</t>
  </si>
  <si>
    <t>Large Growth</t>
  </si>
  <si>
    <t>Seeks capital appreciation by investing in a concentrated portfolio of U.S. large-cap companies exhibiting strong business fundamentals and above-average growth potential.</t>
  </si>
  <si>
    <t>NVIDIA CORP</t>
  </si>
  <si>
    <t>MICROSOFT CORP</t>
  </si>
  <si>
    <t>APPLE INC</t>
  </si>
  <si>
    <t>AMAZON COM INC</t>
  </si>
  <si>
    <t>ALPHABET INC</t>
  </si>
  <si>
    <t>ROYAL CARIBBEAN CRUISES LTD</t>
  </si>
  <si>
    <t>VISA INC</t>
  </si>
  <si>
    <t>LILLY ELI &amp; CO</t>
  </si>
  <si>
    <t>BROADCOM INC</t>
  </si>
  <si>
    <t>GENERAL ELECTRIC CO</t>
  </si>
  <si>
    <t>NETFLIX INC</t>
  </si>
  <si>
    <t>G E VERNOVA INC</t>
  </si>
  <si>
    <t>FAIR ISAAC CORP</t>
  </si>
  <si>
    <t>INTUITIVE SURGICAL INC</t>
  </si>
  <si>
    <t>Shelton S&amp;P 500 Index Fund</t>
  </si>
  <si>
    <t>SPFIX</t>
  </si>
  <si>
    <t>33 years</t>
  </si>
  <si>
    <t>Steve Rogers</t>
  </si>
  <si>
    <t>Since 2003</t>
  </si>
  <si>
    <t>U. of Iowa, UC Berkeley MBA</t>
  </si>
  <si>
    <t>$289.65 Million</t>
  </si>
  <si>
    <t>Very Low</t>
  </si>
  <si>
    <t>Large Blend</t>
  </si>
  <si>
    <t>Aims to replicate the total return of the S&amp;P 500 Index. Passive, index-based strategy seeking high correlation to the benchmark.</t>
  </si>
  <si>
    <t>BERKSHIRE HATHAWAY INC DEL</t>
  </si>
  <si>
    <t>TESLA INC</t>
  </si>
  <si>
    <t>JPMORGAN CHASE &amp; CO</t>
  </si>
  <si>
    <t>mktrf</t>
  </si>
  <si>
    <t>smb</t>
  </si>
  <si>
    <t>hml</t>
  </si>
  <si>
    <t>rf</t>
  </si>
  <si>
    <t>dateff</t>
  </si>
  <si>
    <t>Date</t>
  </si>
  <si>
    <t>Rp SPFIX</t>
  </si>
  <si>
    <t>Rp PGWCX</t>
  </si>
  <si>
    <t>Rp FGINX</t>
  </si>
  <si>
    <t>Rf</t>
  </si>
  <si>
    <t>Rp-Rf FGINX</t>
  </si>
  <si>
    <t>Rp-Rf PGWCX</t>
  </si>
  <si>
    <t>Rp-Rf SPFIX</t>
  </si>
  <si>
    <t>Rm-Rf</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</si>
  <si>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</si>
  <si>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</si>
  <si>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</si>
  <si>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</si>
  <si>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</si>
  <si>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</si>
  <si>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</si>
  <si>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</si>
  <si>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</si>
  <si>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</si>
  <si>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</si>
  <si>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</si>
  <si>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</si>
  <si>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</si>
  <si>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</si>
  <si>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</si>
  <si>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</si>
  <si>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</si>
  <si>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</si>
  <si>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</si>
  <si>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</si>
  <si>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</si>
  <si>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</si>
  <si>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1-Factor</t>
  </si>
  <si>
    <t>3-Factor</t>
  </si>
  <si>
    <t>umd</t>
  </si>
  <si>
    <t>momentum</t>
  </si>
  <si>
    <t>4-Factor</t>
  </si>
  <si>
    <t>Fund</t>
  </si>
  <si>
    <t>Period</t>
  </si>
  <si>
    <t>Alpha (1-Factor)</t>
  </si>
  <si>
    <t>Alpha (3-Factor)</t>
  </si>
  <si>
    <t>Alpha (4-Factor)</t>
  </si>
  <si>
    <t>Sharpe Ratio</t>
  </si>
  <si>
    <t>Treynor Ratio</t>
  </si>
  <si>
    <t>1998-2013 (Full)</t>
  </si>
  <si>
    <t>PGWCX</t>
  </si>
  <si>
    <t>1998-2006 (1st Half)</t>
  </si>
  <si>
    <t>2007-2013 (2nd Half)</t>
  </si>
  <si>
    <t xml:space="preserve">Alphas 1998-2006 </t>
  </si>
  <si>
    <t>Alphas 1998-2013</t>
  </si>
  <si>
    <t>Alphas 2007-2013</t>
  </si>
  <si>
    <t>SD</t>
  </si>
  <si>
    <t>Avg Excess Return</t>
  </si>
  <si>
    <t>Sharpe Ratio( Monthly</t>
  </si>
  <si>
    <t>Sharpe Ratio (Annually)</t>
  </si>
  <si>
    <t>Sharpe</t>
  </si>
  <si>
    <t>Treynor</t>
  </si>
  <si>
    <t>Beta</t>
  </si>
  <si>
    <t>Treynor Ratio (Monthly)</t>
  </si>
  <si>
    <t>Treynor Ratio (Annually</t>
  </si>
  <si>
    <t>Initial Inv</t>
  </si>
  <si>
    <t>Withdrawal</t>
  </si>
  <si>
    <t>Remaining Inv</t>
  </si>
  <si>
    <t>1/3 Each</t>
  </si>
  <si>
    <t>Tax</t>
  </si>
  <si>
    <t>Withdrawal Amt</t>
  </si>
  <si>
    <t>Amt Needed</t>
  </si>
  <si>
    <t>100% Each</t>
  </si>
  <si>
    <t>Withdrawal/3</t>
  </si>
  <si>
    <t>BM</t>
  </si>
  <si>
    <t>PRC</t>
  </si>
  <si>
    <t>SHROUT</t>
  </si>
  <si>
    <t>Size</t>
  </si>
  <si>
    <t>AAPL</t>
  </si>
  <si>
    <t>LLY</t>
  </si>
  <si>
    <t>NVDA</t>
  </si>
  <si>
    <t>BKNG</t>
  </si>
  <si>
    <t>TJX</t>
  </si>
  <si>
    <t>NFLX</t>
  </si>
  <si>
    <t>V</t>
  </si>
  <si>
    <t>TSLA</t>
  </si>
  <si>
    <t>AVGO</t>
  </si>
  <si>
    <t>MSFT</t>
  </si>
  <si>
    <t>GE</t>
  </si>
  <si>
    <t>META</t>
  </si>
  <si>
    <t>AMZN</t>
  </si>
  <si>
    <t>GEV</t>
  </si>
  <si>
    <t>GOOGL</t>
  </si>
  <si>
    <t>BMY</t>
  </si>
  <si>
    <t>GILD</t>
  </si>
  <si>
    <t>CSCO</t>
  </si>
  <si>
    <t>CI</t>
  </si>
  <si>
    <t>JPM</t>
  </si>
  <si>
    <t>XOM</t>
  </si>
  <si>
    <t>BRK.B</t>
  </si>
  <si>
    <t>PNC</t>
  </si>
  <si>
    <t>VZ</t>
  </si>
  <si>
    <t>WFC</t>
  </si>
  <si>
    <t>CVS</t>
  </si>
  <si>
    <t>C</t>
  </si>
  <si>
    <t>FICO</t>
  </si>
  <si>
    <t>ISRG</t>
  </si>
  <si>
    <t>MCK</t>
  </si>
  <si>
    <t>PM</t>
  </si>
  <si>
    <t>RCL</t>
  </si>
  <si>
    <t>Size Decile</t>
  </si>
  <si>
    <t>BM Decile</t>
  </si>
  <si>
    <t>Big Growth</t>
  </si>
  <si>
    <t>Big Value</t>
  </si>
  <si>
    <t>Small Growth</t>
  </si>
  <si>
    <t>Small Value</t>
  </si>
  <si>
    <t>FGINX Size by Style</t>
  </si>
  <si>
    <t>Total Size</t>
  </si>
  <si>
    <t>PGWCX Size by Style</t>
  </si>
  <si>
    <t>SPFIX Size by Style</t>
  </si>
  <si>
    <t>1998-2013</t>
  </si>
  <si>
    <t>1998-2006</t>
  </si>
  <si>
    <t>2007-2013</t>
  </si>
  <si>
    <t xml:space="preserve">2007-2013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</si>
</sst>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rial"/>
      <family val="2"/>
    </font>
    <font>
      <sz val="11"/>
      <color theme="1"/>
      <name val="Aptos Narrow"/>
      <family val="2"/>
    </font>
    <font>
      <b/>
      <sz val="11"/>
      <color theme="1"/>
      <name val="Aptos Narrow"/>
      <family val="2"/>
      <scheme val="minor"/>
    </font>
    <font>
      <i/>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7">
    <xf numFmtId="0" fontId="0" fillId="0" borderId="0" xfId="0"/>
    <xf numFmtId="0" fontId="8" fillId="0" borderId="0" xfId="0" applyFont="1"/>
    <xf numFmtId="0" fontId="9" fillId="0" borderId="0" xfId="0" applyFont="1"/>
    <xf numFmtId="14" fontId="10" fillId="0" borderId="0" xfId="0" applyNumberFormat="1" applyFont="1"/>
    <xf numFmtId="0" fontId="10" fillId="0" borderId="0" xfId="0" applyFont="1"/>
    <xf numFmtId="10" fontId="9" fillId="0" borderId="0" xfId="0" applyNumberFormat="1" applyFont="1" applyAlignment="1">
      <alignment horizontal="right"/>
    </xf>
    <xf numFmtId="9" fontId="9" fillId="0" borderId="0" xfId="0" applyNumberFormat="1" applyFont="1" applyAlignment="1">
      <alignment horizontal="right"/>
    </xf>
    <xf numFmtId="0" fontId="7" fillId="0" borderId="0" xfId="0" applyFont="1"/>
    <xf numFmtId="0" fontId="0" fillId="0" borderId="1" xfId="0" applyBorder="1"/>
    <xf numFmtId="0" fontId="12" fillId="0" borderId="2" xfId="0" applyFont="1" applyBorder="1" applyAlignment="1">
      <alignment horizontal="center"/>
    </xf>
    <xf numFmtId="0" fontId="12" fillId="0" borderId="2" xfId="0" applyFont="1" applyBorder="1" applyAlignment="1">
      <alignment horizontal="centerContinuous"/>
    </xf>
    <xf numFmtId="0" fontId="11" fillId="0" borderId="0" xfId="0" applyFont="1"/>
    <xf numFmtId="0" fontId="6" fillId="0" borderId="0" xfId="0" applyFont="1"/>
    <xf numFmtId="164" fontId="0" fillId="0" borderId="0" xfId="0" applyNumberFormat="1"/>
    <xf numFmtId="0" fontId="5" fillId="0" borderId="0" xfId="0" applyFont="1"/>
    <xf numFmtId="14" fontId="0" fillId="0" borderId="0" xfId="0" applyNumberFormat="1"/>
    <xf numFmtId="0" fontId="4" fillId="0" borderId="0" xfId="0" applyFont="1"/>
    <xf numFmtId="2" fontId="0" fillId="0" borderId="0" xfId="0" applyNumberFormat="1"/>
    <xf numFmtId="0" fontId="3" fillId="0" borderId="0" xfId="0" applyFont="1"/>
    <xf numFmtId="0" fontId="3" fillId="0" borderId="0" xfId="0" applyFont="1" applyAlignment="1">
      <alignment vertical="center" wrapText="1"/>
    </xf>
    <xf numFmtId="0" fontId="3" fillId="0" borderId="0" xfId="0" applyFont="1" applyAlignment="1">
      <alignment vertical="center"/>
    </xf>
    <xf numFmtId="1" fontId="3" fillId="0" borderId="0" xfId="0" applyNumberFormat="1" applyFont="1"/>
    <xf numFmtId="0" fontId="13" fillId="0" borderId="0" xfId="0" applyFont="1"/>
    <xf numFmtId="2" fontId="3" fillId="0" borderId="0" xfId="0" applyNumberFormat="1" applyFont="1"/>
    <xf numFmtId="0" fontId="2" fillId="0" borderId="0" xfId="0" applyFont="1" applyAlignment="1">
      <alignment vertical="center" wrapText="1"/>
    </xf>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colors>
    <mruColors>
      <color rgb="FFF8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r>
              <a:rPr lang="en-US" baseline="0">
                <a:latin typeface="Calisto MT" panose="02040603050505030304" pitchFamily="18" charset="0"/>
              </a:rPr>
              <a:t>$1000 Investment Over Time</a:t>
            </a:r>
            <a:endParaRPr lang="en-US">
              <a:latin typeface="Calisto MT" panose="020406030505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lotArea>
      <c:layout/>
      <c:lineChart>
        <c:grouping val="standard"/>
        <c:varyColors val="0"/>
        <c:ser>
          <c:idx val="0"/>
          <c:order val="0"/>
          <c:tx>
            <c:strRef>
              <c:f>'MF Data '!$M$1</c:f>
              <c:strCache>
                <c:ptCount val="1"/>
                <c:pt idx="0">
                  <c:v>FGINX</c:v>
                </c:pt>
              </c:strCache>
            </c:strRef>
          </c:tx>
          <c:spPr>
            <a:ln w="28575" cap="rnd">
              <a:solidFill>
                <a:schemeClr val="accent1"/>
              </a:solidFill>
              <a:round/>
            </a:ln>
            <a:effectLst/>
          </c:spPr>
          <c:marker>
            <c:symbol val="none"/>
          </c:marker>
          <c:cat>
            <c:numRef>
              <c:f>'MF Data '!$A$2:$A$325</c:f>
              <c:numCache>
                <c:formatCode>m/d/yyyy</c:formatCode>
                <c:ptCount val="324"/>
                <c:pt idx="0">
                  <c:v>35825</c:v>
                </c:pt>
                <c:pt idx="1">
                  <c:v>35853</c:v>
                </c:pt>
                <c:pt idx="2">
                  <c:v>35885</c:v>
                </c:pt>
                <c:pt idx="3">
                  <c:v>35915</c:v>
                </c:pt>
                <c:pt idx="4">
                  <c:v>35944</c:v>
                </c:pt>
                <c:pt idx="5">
                  <c:v>35976</c:v>
                </c:pt>
                <c:pt idx="6">
                  <c:v>36007</c:v>
                </c:pt>
                <c:pt idx="7">
                  <c:v>36038</c:v>
                </c:pt>
                <c:pt idx="8">
                  <c:v>36068</c:v>
                </c:pt>
                <c:pt idx="9">
                  <c:v>36098</c:v>
                </c:pt>
                <c:pt idx="10">
                  <c:v>36129</c:v>
                </c:pt>
                <c:pt idx="11">
                  <c:v>36160</c:v>
                </c:pt>
                <c:pt idx="12">
                  <c:v>36189</c:v>
                </c:pt>
                <c:pt idx="13">
                  <c:v>36217</c:v>
                </c:pt>
                <c:pt idx="14">
                  <c:v>36250</c:v>
                </c:pt>
                <c:pt idx="15">
                  <c:v>36280</c:v>
                </c:pt>
                <c:pt idx="16">
                  <c:v>36308</c:v>
                </c:pt>
                <c:pt idx="17">
                  <c:v>36341</c:v>
                </c:pt>
                <c:pt idx="18">
                  <c:v>36371</c:v>
                </c:pt>
                <c:pt idx="19">
                  <c:v>36403</c:v>
                </c:pt>
                <c:pt idx="20">
                  <c:v>36433</c:v>
                </c:pt>
                <c:pt idx="21">
                  <c:v>36462</c:v>
                </c:pt>
                <c:pt idx="22">
                  <c:v>36494</c:v>
                </c:pt>
                <c:pt idx="23">
                  <c:v>36525</c:v>
                </c:pt>
                <c:pt idx="24">
                  <c:v>36556</c:v>
                </c:pt>
                <c:pt idx="25">
                  <c:v>36585</c:v>
                </c:pt>
                <c:pt idx="26">
                  <c:v>36616</c:v>
                </c:pt>
                <c:pt idx="27">
                  <c:v>36644</c:v>
                </c:pt>
                <c:pt idx="28">
                  <c:v>36677</c:v>
                </c:pt>
                <c:pt idx="29">
                  <c:v>36707</c:v>
                </c:pt>
                <c:pt idx="30">
                  <c:v>36738</c:v>
                </c:pt>
                <c:pt idx="31">
                  <c:v>36769</c:v>
                </c:pt>
                <c:pt idx="32">
                  <c:v>36798</c:v>
                </c:pt>
                <c:pt idx="33">
                  <c:v>36830</c:v>
                </c:pt>
                <c:pt idx="34">
                  <c:v>36860</c:v>
                </c:pt>
                <c:pt idx="35">
                  <c:v>36889</c:v>
                </c:pt>
                <c:pt idx="36">
                  <c:v>36922</c:v>
                </c:pt>
                <c:pt idx="37">
                  <c:v>36950</c:v>
                </c:pt>
                <c:pt idx="38">
                  <c:v>36980</c:v>
                </c:pt>
                <c:pt idx="39">
                  <c:v>37011</c:v>
                </c:pt>
                <c:pt idx="40">
                  <c:v>37042</c:v>
                </c:pt>
                <c:pt idx="41">
                  <c:v>37071</c:v>
                </c:pt>
                <c:pt idx="42">
                  <c:v>37103</c:v>
                </c:pt>
                <c:pt idx="43">
                  <c:v>37134</c:v>
                </c:pt>
                <c:pt idx="44">
                  <c:v>37162</c:v>
                </c:pt>
                <c:pt idx="45">
                  <c:v>37195</c:v>
                </c:pt>
                <c:pt idx="46">
                  <c:v>37225</c:v>
                </c:pt>
                <c:pt idx="47">
                  <c:v>37256</c:v>
                </c:pt>
                <c:pt idx="48">
                  <c:v>37287</c:v>
                </c:pt>
                <c:pt idx="49">
                  <c:v>37315</c:v>
                </c:pt>
                <c:pt idx="50">
                  <c:v>37343</c:v>
                </c:pt>
                <c:pt idx="51">
                  <c:v>37376</c:v>
                </c:pt>
                <c:pt idx="52">
                  <c:v>37407</c:v>
                </c:pt>
                <c:pt idx="53">
                  <c:v>37435</c:v>
                </c:pt>
                <c:pt idx="54">
                  <c:v>37468</c:v>
                </c:pt>
                <c:pt idx="55">
                  <c:v>37498</c:v>
                </c:pt>
                <c:pt idx="56">
                  <c:v>37529</c:v>
                </c:pt>
                <c:pt idx="57">
                  <c:v>37560</c:v>
                </c:pt>
                <c:pt idx="58">
                  <c:v>37589</c:v>
                </c:pt>
                <c:pt idx="59">
                  <c:v>37621</c:v>
                </c:pt>
                <c:pt idx="60">
                  <c:v>37652</c:v>
                </c:pt>
                <c:pt idx="61">
                  <c:v>37680</c:v>
                </c:pt>
                <c:pt idx="62">
                  <c:v>37711</c:v>
                </c:pt>
                <c:pt idx="63">
                  <c:v>37741</c:v>
                </c:pt>
                <c:pt idx="64">
                  <c:v>37771</c:v>
                </c:pt>
                <c:pt idx="65">
                  <c:v>37802</c:v>
                </c:pt>
                <c:pt idx="66">
                  <c:v>37833</c:v>
                </c:pt>
                <c:pt idx="67">
                  <c:v>37862</c:v>
                </c:pt>
                <c:pt idx="68">
                  <c:v>37894</c:v>
                </c:pt>
                <c:pt idx="69">
                  <c:v>37925</c:v>
                </c:pt>
                <c:pt idx="70">
                  <c:v>37953</c:v>
                </c:pt>
                <c:pt idx="71">
                  <c:v>37986</c:v>
                </c:pt>
                <c:pt idx="72">
                  <c:v>38016</c:v>
                </c:pt>
                <c:pt idx="73">
                  <c:v>38044</c:v>
                </c:pt>
                <c:pt idx="74">
                  <c:v>38077</c:v>
                </c:pt>
                <c:pt idx="75">
                  <c:v>38107</c:v>
                </c:pt>
                <c:pt idx="76">
                  <c:v>38135</c:v>
                </c:pt>
                <c:pt idx="77">
                  <c:v>38168</c:v>
                </c:pt>
                <c:pt idx="78">
                  <c:v>38198</c:v>
                </c:pt>
                <c:pt idx="79">
                  <c:v>38230</c:v>
                </c:pt>
                <c:pt idx="80">
                  <c:v>38260</c:v>
                </c:pt>
                <c:pt idx="81">
                  <c:v>38289</c:v>
                </c:pt>
                <c:pt idx="82">
                  <c:v>38321</c:v>
                </c:pt>
                <c:pt idx="83">
                  <c:v>38352</c:v>
                </c:pt>
                <c:pt idx="84">
                  <c:v>38383</c:v>
                </c:pt>
                <c:pt idx="85">
                  <c:v>38411</c:v>
                </c:pt>
                <c:pt idx="86">
                  <c:v>38442</c:v>
                </c:pt>
                <c:pt idx="87">
                  <c:v>38471</c:v>
                </c:pt>
                <c:pt idx="88">
                  <c:v>38503</c:v>
                </c:pt>
                <c:pt idx="89">
                  <c:v>38533</c:v>
                </c:pt>
                <c:pt idx="90">
                  <c:v>38562</c:v>
                </c:pt>
                <c:pt idx="91">
                  <c:v>38595</c:v>
                </c:pt>
                <c:pt idx="92">
                  <c:v>38625</c:v>
                </c:pt>
                <c:pt idx="93">
                  <c:v>38656</c:v>
                </c:pt>
                <c:pt idx="94">
                  <c:v>38686</c:v>
                </c:pt>
                <c:pt idx="95">
                  <c:v>38716</c:v>
                </c:pt>
                <c:pt idx="96">
                  <c:v>38748</c:v>
                </c:pt>
                <c:pt idx="97">
                  <c:v>38776</c:v>
                </c:pt>
                <c:pt idx="98">
                  <c:v>38807</c:v>
                </c:pt>
                <c:pt idx="99">
                  <c:v>38835</c:v>
                </c:pt>
                <c:pt idx="100">
                  <c:v>38868</c:v>
                </c:pt>
                <c:pt idx="101">
                  <c:v>38898</c:v>
                </c:pt>
                <c:pt idx="102">
                  <c:v>38929</c:v>
                </c:pt>
                <c:pt idx="103">
                  <c:v>38960</c:v>
                </c:pt>
                <c:pt idx="104">
                  <c:v>38989</c:v>
                </c:pt>
                <c:pt idx="105">
                  <c:v>39021</c:v>
                </c:pt>
                <c:pt idx="106">
                  <c:v>39051</c:v>
                </c:pt>
                <c:pt idx="107">
                  <c:v>39080</c:v>
                </c:pt>
                <c:pt idx="108">
                  <c:v>39113</c:v>
                </c:pt>
                <c:pt idx="109">
                  <c:v>39141</c:v>
                </c:pt>
                <c:pt idx="110">
                  <c:v>39171</c:v>
                </c:pt>
                <c:pt idx="111">
                  <c:v>39202</c:v>
                </c:pt>
                <c:pt idx="112">
                  <c:v>39233</c:v>
                </c:pt>
                <c:pt idx="113">
                  <c:v>39262</c:v>
                </c:pt>
                <c:pt idx="114">
                  <c:v>39294</c:v>
                </c:pt>
                <c:pt idx="115">
                  <c:v>39325</c:v>
                </c:pt>
                <c:pt idx="116">
                  <c:v>39353</c:v>
                </c:pt>
                <c:pt idx="117">
                  <c:v>39386</c:v>
                </c:pt>
                <c:pt idx="118">
                  <c:v>39416</c:v>
                </c:pt>
                <c:pt idx="119">
                  <c:v>39447</c:v>
                </c:pt>
                <c:pt idx="120">
                  <c:v>39478</c:v>
                </c:pt>
                <c:pt idx="121">
                  <c:v>39507</c:v>
                </c:pt>
                <c:pt idx="122">
                  <c:v>39538</c:v>
                </c:pt>
                <c:pt idx="123">
                  <c:v>39568</c:v>
                </c:pt>
                <c:pt idx="124">
                  <c:v>39598</c:v>
                </c:pt>
                <c:pt idx="125">
                  <c:v>39629</c:v>
                </c:pt>
                <c:pt idx="126">
                  <c:v>39660</c:v>
                </c:pt>
                <c:pt idx="127">
                  <c:v>39689</c:v>
                </c:pt>
                <c:pt idx="128">
                  <c:v>39721</c:v>
                </c:pt>
                <c:pt idx="129">
                  <c:v>39752</c:v>
                </c:pt>
                <c:pt idx="130">
                  <c:v>39780</c:v>
                </c:pt>
                <c:pt idx="131">
                  <c:v>39813</c:v>
                </c:pt>
                <c:pt idx="132">
                  <c:v>39843</c:v>
                </c:pt>
                <c:pt idx="133">
                  <c:v>39871</c:v>
                </c:pt>
                <c:pt idx="134">
                  <c:v>39903</c:v>
                </c:pt>
                <c:pt idx="135">
                  <c:v>39933</c:v>
                </c:pt>
                <c:pt idx="136">
                  <c:v>39962</c:v>
                </c:pt>
                <c:pt idx="137">
                  <c:v>39994</c:v>
                </c:pt>
                <c:pt idx="138">
                  <c:v>40025</c:v>
                </c:pt>
                <c:pt idx="139">
                  <c:v>40056</c:v>
                </c:pt>
                <c:pt idx="140">
                  <c:v>40086</c:v>
                </c:pt>
                <c:pt idx="141">
                  <c:v>40116</c:v>
                </c:pt>
                <c:pt idx="142">
                  <c:v>40147</c:v>
                </c:pt>
                <c:pt idx="143">
                  <c:v>40178</c:v>
                </c:pt>
                <c:pt idx="144">
                  <c:v>40207</c:v>
                </c:pt>
                <c:pt idx="145">
                  <c:v>40235</c:v>
                </c:pt>
                <c:pt idx="146">
                  <c:v>40268</c:v>
                </c:pt>
                <c:pt idx="147">
                  <c:v>40298</c:v>
                </c:pt>
                <c:pt idx="148">
                  <c:v>40326</c:v>
                </c:pt>
                <c:pt idx="149">
                  <c:v>40359</c:v>
                </c:pt>
                <c:pt idx="150">
                  <c:v>40389</c:v>
                </c:pt>
                <c:pt idx="151">
                  <c:v>40421</c:v>
                </c:pt>
                <c:pt idx="152">
                  <c:v>40451</c:v>
                </c:pt>
                <c:pt idx="153">
                  <c:v>40480</c:v>
                </c:pt>
                <c:pt idx="154">
                  <c:v>40512</c:v>
                </c:pt>
                <c:pt idx="155">
                  <c:v>40543</c:v>
                </c:pt>
                <c:pt idx="156">
                  <c:v>40574</c:v>
                </c:pt>
                <c:pt idx="157">
                  <c:v>40602</c:v>
                </c:pt>
                <c:pt idx="158">
                  <c:v>40633</c:v>
                </c:pt>
                <c:pt idx="159">
                  <c:v>40662</c:v>
                </c:pt>
                <c:pt idx="160">
                  <c:v>40694</c:v>
                </c:pt>
                <c:pt idx="161">
                  <c:v>40724</c:v>
                </c:pt>
                <c:pt idx="162">
                  <c:v>40753</c:v>
                </c:pt>
                <c:pt idx="163">
                  <c:v>40786</c:v>
                </c:pt>
                <c:pt idx="164">
                  <c:v>40816</c:v>
                </c:pt>
                <c:pt idx="165">
                  <c:v>40847</c:v>
                </c:pt>
                <c:pt idx="166">
                  <c:v>40877</c:v>
                </c:pt>
                <c:pt idx="167">
                  <c:v>40907</c:v>
                </c:pt>
                <c:pt idx="168">
                  <c:v>40939</c:v>
                </c:pt>
                <c:pt idx="169">
                  <c:v>40968</c:v>
                </c:pt>
                <c:pt idx="170">
                  <c:v>40998</c:v>
                </c:pt>
                <c:pt idx="171">
                  <c:v>41029</c:v>
                </c:pt>
                <c:pt idx="172">
                  <c:v>41060</c:v>
                </c:pt>
                <c:pt idx="173">
                  <c:v>41089</c:v>
                </c:pt>
                <c:pt idx="174">
                  <c:v>41121</c:v>
                </c:pt>
                <c:pt idx="175">
                  <c:v>41152</c:v>
                </c:pt>
                <c:pt idx="176">
                  <c:v>41180</c:v>
                </c:pt>
                <c:pt idx="177">
                  <c:v>41213</c:v>
                </c:pt>
                <c:pt idx="178">
                  <c:v>41243</c:v>
                </c:pt>
                <c:pt idx="179">
                  <c:v>41274</c:v>
                </c:pt>
                <c:pt idx="180">
                  <c:v>41305</c:v>
                </c:pt>
                <c:pt idx="181">
                  <c:v>41333</c:v>
                </c:pt>
                <c:pt idx="182">
                  <c:v>41361</c:v>
                </c:pt>
                <c:pt idx="183">
                  <c:v>41394</c:v>
                </c:pt>
                <c:pt idx="184">
                  <c:v>41425</c:v>
                </c:pt>
                <c:pt idx="185">
                  <c:v>41453</c:v>
                </c:pt>
                <c:pt idx="186">
                  <c:v>41486</c:v>
                </c:pt>
                <c:pt idx="187">
                  <c:v>41516</c:v>
                </c:pt>
                <c:pt idx="188">
                  <c:v>41547</c:v>
                </c:pt>
                <c:pt idx="189">
                  <c:v>41578</c:v>
                </c:pt>
                <c:pt idx="190">
                  <c:v>41607</c:v>
                </c:pt>
                <c:pt idx="191">
                  <c:v>41639</c:v>
                </c:pt>
                <c:pt idx="192">
                  <c:v>41670</c:v>
                </c:pt>
                <c:pt idx="193">
                  <c:v>41698</c:v>
                </c:pt>
                <c:pt idx="194">
                  <c:v>41729</c:v>
                </c:pt>
                <c:pt idx="195">
                  <c:v>41759</c:v>
                </c:pt>
                <c:pt idx="196">
                  <c:v>41789</c:v>
                </c:pt>
                <c:pt idx="197">
                  <c:v>41820</c:v>
                </c:pt>
                <c:pt idx="198">
                  <c:v>41851</c:v>
                </c:pt>
                <c:pt idx="199">
                  <c:v>41880</c:v>
                </c:pt>
                <c:pt idx="200">
                  <c:v>41912</c:v>
                </c:pt>
                <c:pt idx="201">
                  <c:v>41943</c:v>
                </c:pt>
                <c:pt idx="202">
                  <c:v>41971</c:v>
                </c:pt>
                <c:pt idx="203">
                  <c:v>42004</c:v>
                </c:pt>
                <c:pt idx="204">
                  <c:v>42034</c:v>
                </c:pt>
                <c:pt idx="205">
                  <c:v>42062</c:v>
                </c:pt>
                <c:pt idx="206">
                  <c:v>42094</c:v>
                </c:pt>
                <c:pt idx="207">
                  <c:v>42124</c:v>
                </c:pt>
                <c:pt idx="208">
                  <c:v>42153</c:v>
                </c:pt>
                <c:pt idx="209">
                  <c:v>42185</c:v>
                </c:pt>
                <c:pt idx="210">
                  <c:v>42216</c:v>
                </c:pt>
                <c:pt idx="211">
                  <c:v>42247</c:v>
                </c:pt>
                <c:pt idx="212">
                  <c:v>42277</c:v>
                </c:pt>
                <c:pt idx="213">
                  <c:v>42307</c:v>
                </c:pt>
                <c:pt idx="214">
                  <c:v>42338</c:v>
                </c:pt>
                <c:pt idx="215">
                  <c:v>42369</c:v>
                </c:pt>
                <c:pt idx="216">
                  <c:v>42398</c:v>
                </c:pt>
                <c:pt idx="217">
                  <c:v>42429</c:v>
                </c:pt>
                <c:pt idx="218">
                  <c:v>42460</c:v>
                </c:pt>
                <c:pt idx="219">
                  <c:v>42489</c:v>
                </c:pt>
                <c:pt idx="220">
                  <c:v>42521</c:v>
                </c:pt>
                <c:pt idx="221">
                  <c:v>42551</c:v>
                </c:pt>
                <c:pt idx="222">
                  <c:v>42580</c:v>
                </c:pt>
                <c:pt idx="223">
                  <c:v>42613</c:v>
                </c:pt>
                <c:pt idx="224">
                  <c:v>42643</c:v>
                </c:pt>
                <c:pt idx="225">
                  <c:v>42674</c:v>
                </c:pt>
                <c:pt idx="226">
                  <c:v>42704</c:v>
                </c:pt>
                <c:pt idx="227">
                  <c:v>42734</c:v>
                </c:pt>
                <c:pt idx="228">
                  <c:v>42766</c:v>
                </c:pt>
                <c:pt idx="229">
                  <c:v>42794</c:v>
                </c:pt>
                <c:pt idx="230">
                  <c:v>42825</c:v>
                </c:pt>
                <c:pt idx="231">
                  <c:v>42853</c:v>
                </c:pt>
                <c:pt idx="232">
                  <c:v>42886</c:v>
                </c:pt>
                <c:pt idx="233">
                  <c:v>42916</c:v>
                </c:pt>
                <c:pt idx="234">
                  <c:v>42947</c:v>
                </c:pt>
                <c:pt idx="235">
                  <c:v>42978</c:v>
                </c:pt>
                <c:pt idx="236">
                  <c:v>43007</c:v>
                </c:pt>
                <c:pt idx="237">
                  <c:v>43039</c:v>
                </c:pt>
                <c:pt idx="238">
                  <c:v>43069</c:v>
                </c:pt>
                <c:pt idx="239">
                  <c:v>43098</c:v>
                </c:pt>
                <c:pt idx="240">
                  <c:v>43131</c:v>
                </c:pt>
                <c:pt idx="241">
                  <c:v>43159</c:v>
                </c:pt>
                <c:pt idx="242">
                  <c:v>43188</c:v>
                </c:pt>
                <c:pt idx="243">
                  <c:v>43220</c:v>
                </c:pt>
                <c:pt idx="244">
                  <c:v>43251</c:v>
                </c:pt>
                <c:pt idx="245">
                  <c:v>43280</c:v>
                </c:pt>
                <c:pt idx="246">
                  <c:v>43312</c:v>
                </c:pt>
                <c:pt idx="247">
                  <c:v>43343</c:v>
                </c:pt>
                <c:pt idx="248">
                  <c:v>43371</c:v>
                </c:pt>
                <c:pt idx="249">
                  <c:v>43404</c:v>
                </c:pt>
                <c:pt idx="250">
                  <c:v>43434</c:v>
                </c:pt>
                <c:pt idx="251">
                  <c:v>43465</c:v>
                </c:pt>
                <c:pt idx="252">
                  <c:v>43496</c:v>
                </c:pt>
                <c:pt idx="253">
                  <c:v>43524</c:v>
                </c:pt>
                <c:pt idx="254">
                  <c:v>43553</c:v>
                </c:pt>
                <c:pt idx="255">
                  <c:v>43585</c:v>
                </c:pt>
                <c:pt idx="256">
                  <c:v>43616</c:v>
                </c:pt>
                <c:pt idx="257">
                  <c:v>43644</c:v>
                </c:pt>
                <c:pt idx="258">
                  <c:v>43677</c:v>
                </c:pt>
                <c:pt idx="259">
                  <c:v>43707</c:v>
                </c:pt>
                <c:pt idx="260">
                  <c:v>43738</c:v>
                </c:pt>
                <c:pt idx="261">
                  <c:v>43769</c:v>
                </c:pt>
                <c:pt idx="262">
                  <c:v>43798</c:v>
                </c:pt>
                <c:pt idx="263">
                  <c:v>43830</c:v>
                </c:pt>
                <c:pt idx="264">
                  <c:v>43861</c:v>
                </c:pt>
                <c:pt idx="265">
                  <c:v>43889</c:v>
                </c:pt>
                <c:pt idx="266">
                  <c:v>43921</c:v>
                </c:pt>
                <c:pt idx="267">
                  <c:v>43951</c:v>
                </c:pt>
                <c:pt idx="268">
                  <c:v>43980</c:v>
                </c:pt>
                <c:pt idx="269">
                  <c:v>44012</c:v>
                </c:pt>
                <c:pt idx="270">
                  <c:v>44043</c:v>
                </c:pt>
                <c:pt idx="271">
                  <c:v>44074</c:v>
                </c:pt>
                <c:pt idx="272">
                  <c:v>44104</c:v>
                </c:pt>
                <c:pt idx="273">
                  <c:v>44134</c:v>
                </c:pt>
                <c:pt idx="274">
                  <c:v>44165</c:v>
                </c:pt>
                <c:pt idx="275">
                  <c:v>44196</c:v>
                </c:pt>
                <c:pt idx="276">
                  <c:v>44225</c:v>
                </c:pt>
                <c:pt idx="277">
                  <c:v>44253</c:v>
                </c:pt>
                <c:pt idx="278">
                  <c:v>44286</c:v>
                </c:pt>
                <c:pt idx="279">
                  <c:v>44316</c:v>
                </c:pt>
                <c:pt idx="280">
                  <c:v>44344</c:v>
                </c:pt>
                <c:pt idx="281">
                  <c:v>44377</c:v>
                </c:pt>
                <c:pt idx="282">
                  <c:v>44407</c:v>
                </c:pt>
                <c:pt idx="283">
                  <c:v>44439</c:v>
                </c:pt>
                <c:pt idx="284">
                  <c:v>44469</c:v>
                </c:pt>
                <c:pt idx="285">
                  <c:v>44498</c:v>
                </c:pt>
                <c:pt idx="286">
                  <c:v>44530</c:v>
                </c:pt>
                <c:pt idx="287">
                  <c:v>44561</c:v>
                </c:pt>
                <c:pt idx="288">
                  <c:v>44592</c:v>
                </c:pt>
                <c:pt idx="289">
                  <c:v>44620</c:v>
                </c:pt>
                <c:pt idx="290">
                  <c:v>44651</c:v>
                </c:pt>
                <c:pt idx="291">
                  <c:v>44680</c:v>
                </c:pt>
                <c:pt idx="292">
                  <c:v>44712</c:v>
                </c:pt>
                <c:pt idx="293">
                  <c:v>44742</c:v>
                </c:pt>
                <c:pt idx="294">
                  <c:v>44771</c:v>
                </c:pt>
                <c:pt idx="295">
                  <c:v>44804</c:v>
                </c:pt>
                <c:pt idx="296">
                  <c:v>44834</c:v>
                </c:pt>
                <c:pt idx="297">
                  <c:v>44865</c:v>
                </c:pt>
                <c:pt idx="298">
                  <c:v>44895</c:v>
                </c:pt>
                <c:pt idx="299">
                  <c:v>44925</c:v>
                </c:pt>
                <c:pt idx="300">
                  <c:v>44957</c:v>
                </c:pt>
                <c:pt idx="301">
                  <c:v>44985</c:v>
                </c:pt>
                <c:pt idx="302">
                  <c:v>45016</c:v>
                </c:pt>
                <c:pt idx="303">
                  <c:v>45044</c:v>
                </c:pt>
                <c:pt idx="304">
                  <c:v>45077</c:v>
                </c:pt>
                <c:pt idx="305">
                  <c:v>45107</c:v>
                </c:pt>
                <c:pt idx="306">
                  <c:v>45138</c:v>
                </c:pt>
                <c:pt idx="307">
                  <c:v>45169</c:v>
                </c:pt>
                <c:pt idx="308">
                  <c:v>45198</c:v>
                </c:pt>
                <c:pt idx="309">
                  <c:v>45230</c:v>
                </c:pt>
                <c:pt idx="310">
                  <c:v>45260</c:v>
                </c:pt>
                <c:pt idx="311">
                  <c:v>45289</c:v>
                </c:pt>
                <c:pt idx="312">
                  <c:v>45322</c:v>
                </c:pt>
                <c:pt idx="313">
                  <c:v>45351</c:v>
                </c:pt>
                <c:pt idx="314">
                  <c:v>45379</c:v>
                </c:pt>
                <c:pt idx="315">
                  <c:v>45412</c:v>
                </c:pt>
                <c:pt idx="316">
                  <c:v>45443</c:v>
                </c:pt>
                <c:pt idx="317">
                  <c:v>45471</c:v>
                </c:pt>
                <c:pt idx="318">
                  <c:v>45504</c:v>
                </c:pt>
                <c:pt idx="319">
                  <c:v>45534</c:v>
                </c:pt>
                <c:pt idx="320">
                  <c:v>45565</c:v>
                </c:pt>
                <c:pt idx="321">
                  <c:v>45596</c:v>
                </c:pt>
                <c:pt idx="322">
                  <c:v>45625</c:v>
                </c:pt>
                <c:pt idx="323">
                  <c:v>45657</c:v>
                </c:pt>
              </c:numCache>
            </c:numRef>
          </c:cat>
          <c:val>
            <c:numRef>
              <c:f>'MF Data '!$M$2:$M$325</c:f>
              <c:numCache>
                <c:formatCode>General</c:formatCode>
                <c:ptCount val="324"/>
                <c:pt idx="0">
                  <c:v>1011.735</c:v>
                </c:pt>
                <c:pt idx="1">
                  <c:v>1068.7341264300001</c:v>
                </c:pt>
                <c:pt idx="2">
                  <c:v>1122.3803046402802</c:v>
                </c:pt>
                <c:pt idx="3">
                  <c:v>1143.3463687309606</c:v>
                </c:pt>
                <c:pt idx="4">
                  <c:v>1117.3420989205438</c:v>
                </c:pt>
                <c:pt idx="5">
                  <c:v>1158.4457627135337</c:v>
                </c:pt>
                <c:pt idx="6">
                  <c:v>1131.5744548016305</c:v>
                </c:pt>
                <c:pt idx="7">
                  <c:v>981.31381452297671</c:v>
                </c:pt>
                <c:pt idx="8">
                  <c:v>1033.3597553038319</c:v>
                </c:pt>
                <c:pt idx="9">
                  <c:v>1103.3946793597938</c:v>
                </c:pt>
                <c:pt idx="10">
                  <c:v>1164.0758697511856</c:v>
                </c:pt>
                <c:pt idx="11">
                  <c:v>1234.0880488615007</c:v>
                </c:pt>
                <c:pt idx="12">
                  <c:v>1284.5968045253044</c:v>
                </c:pt>
                <c:pt idx="13">
                  <c:v>1240.8228838143002</c:v>
                </c:pt>
                <c:pt idx="14">
                  <c:v>1296.3819692599693</c:v>
                </c:pt>
                <c:pt idx="15">
                  <c:v>1341.7812658234534</c:v>
                </c:pt>
                <c:pt idx="16">
                  <c:v>1294.6122872046958</c:v>
                </c:pt>
                <c:pt idx="17">
                  <c:v>1366.2082305239771</c:v>
                </c:pt>
                <c:pt idx="18">
                  <c:v>1306.5650440122224</c:v>
                </c:pt>
                <c:pt idx="19">
                  <c:v>1292.2437845648044</c:v>
                </c:pt>
                <c:pt idx="20">
                  <c:v>1278.7656818917935</c:v>
                </c:pt>
                <c:pt idx="21">
                  <c:v>1349.4865391631372</c:v>
                </c:pt>
                <c:pt idx="22">
                  <c:v>1396.2583931239924</c:v>
                </c:pt>
                <c:pt idx="23">
                  <c:v>1520.4737285514821</c:v>
                </c:pt>
                <c:pt idx="24">
                  <c:v>1438.2860416283602</c:v>
                </c:pt>
                <c:pt idx="25">
                  <c:v>1526.0775833233138</c:v>
                </c:pt>
                <c:pt idx="26">
                  <c:v>1623.2078432690928</c:v>
                </c:pt>
                <c:pt idx="27">
                  <c:v>1594.2546849687019</c:v>
                </c:pt>
                <c:pt idx="28">
                  <c:v>1532.6144218290719</c:v>
                </c:pt>
                <c:pt idx="29">
                  <c:v>1565.3020222178425</c:v>
                </c:pt>
                <c:pt idx="30">
                  <c:v>1512.0661004422136</c:v>
                </c:pt>
                <c:pt idx="31">
                  <c:v>1620.4041244727978</c:v>
                </c:pt>
                <c:pt idx="32">
                  <c:v>1551.2922681599084</c:v>
                </c:pt>
                <c:pt idx="33">
                  <c:v>1531.6792800135627</c:v>
                </c:pt>
                <c:pt idx="34">
                  <c:v>1408.7497643582342</c:v>
                </c:pt>
                <c:pt idx="35">
                  <c:v>1471.4292676238249</c:v>
                </c:pt>
                <c:pt idx="36">
                  <c:v>1457.0431036742666</c:v>
                </c:pt>
                <c:pt idx="37">
                  <c:v>1371.7579996869008</c:v>
                </c:pt>
                <c:pt idx="38">
                  <c:v>1314.2154951160346</c:v>
                </c:pt>
                <c:pt idx="39">
                  <c:v>1415.0959907366366</c:v>
                </c:pt>
                <c:pt idx="40">
                  <c:v>1428.4757233290516</c:v>
                </c:pt>
                <c:pt idx="41">
                  <c:v>1361.5802052055519</c:v>
                </c:pt>
                <c:pt idx="42">
                  <c:v>1302.8729514977042</c:v>
                </c:pt>
                <c:pt idx="43">
                  <c:v>1233.8675884945799</c:v>
                </c:pt>
                <c:pt idx="44">
                  <c:v>1149.4130536648913</c:v>
                </c:pt>
                <c:pt idx="45">
                  <c:v>1159.7221393432117</c:v>
                </c:pt>
                <c:pt idx="46">
                  <c:v>1225.6975721283077</c:v>
                </c:pt>
                <c:pt idx="47">
                  <c:v>1243.2225960145981</c:v>
                </c:pt>
                <c:pt idx="48">
                  <c:v>1208.115233125742</c:v>
                </c:pt>
                <c:pt idx="49">
                  <c:v>1194.6918647704817</c:v>
                </c:pt>
                <c:pt idx="50">
                  <c:v>1238.8859062320712</c:v>
                </c:pt>
                <c:pt idx="51">
                  <c:v>1197.5554335142631</c:v>
                </c:pt>
                <c:pt idx="52">
                  <c:v>1176.8904169535408</c:v>
                </c:pt>
                <c:pt idx="53">
                  <c:v>1093.1958549518897</c:v>
                </c:pt>
                <c:pt idx="54">
                  <c:v>1004.3354298821253</c:v>
                </c:pt>
                <c:pt idx="55">
                  <c:v>1012.6011104700551</c:v>
                </c:pt>
                <c:pt idx="56">
                  <c:v>913.40771828951893</c:v>
                </c:pt>
                <c:pt idx="57">
                  <c:v>949.61337342707895</c:v>
                </c:pt>
                <c:pt idx="58">
                  <c:v>1012.714232477935</c:v>
                </c:pt>
                <c:pt idx="59">
                  <c:v>959.44040027843323</c:v>
                </c:pt>
                <c:pt idx="60">
                  <c:v>940.79079777782113</c:v>
                </c:pt>
                <c:pt idx="61">
                  <c:v>920.06893966596681</c:v>
                </c:pt>
                <c:pt idx="62">
                  <c:v>922.14093491809444</c:v>
                </c:pt>
                <c:pt idx="63">
                  <c:v>989.56419151556577</c:v>
                </c:pt>
                <c:pt idx="64">
                  <c:v>1055.9500948675791</c:v>
                </c:pt>
                <c:pt idx="65">
                  <c:v>1073.5834055017729</c:v>
                </c:pt>
                <c:pt idx="66">
                  <c:v>1093.310500577868</c:v>
                </c:pt>
                <c:pt idx="67">
                  <c:v>1119.2678784825875</c:v>
                </c:pt>
                <c:pt idx="68">
                  <c:v>1109.7160464076171</c:v>
                </c:pt>
                <c:pt idx="69">
                  <c:v>1176.2157804885935</c:v>
                </c:pt>
                <c:pt idx="70">
                  <c:v>1194.9187876141425</c:v>
                </c:pt>
                <c:pt idx="71">
                  <c:v>1245.8330822355933</c:v>
                </c:pt>
                <c:pt idx="72">
                  <c:v>1271.8311269956857</c:v>
                </c:pt>
                <c:pt idx="73">
                  <c:v>1296.7895410318492</c:v>
                </c:pt>
                <c:pt idx="74">
                  <c:v>1283.7905226725459</c:v>
                </c:pt>
                <c:pt idx="75">
                  <c:v>1243.21632320348</c:v>
                </c:pt>
                <c:pt idx="76">
                  <c:v>1252.5789853335255</c:v>
                </c:pt>
                <c:pt idx="77">
                  <c:v>1274.9462882746263</c:v>
                </c:pt>
                <c:pt idx="78">
                  <c:v>1232.2751109523629</c:v>
                </c:pt>
                <c:pt idx="79">
                  <c:v>1237.4790087459148</c:v>
                </c:pt>
                <c:pt idx="80">
                  <c:v>1264.5389622301618</c:v>
                </c:pt>
                <c:pt idx="81">
                  <c:v>1267.6636380058324</c:v>
                </c:pt>
                <c:pt idx="82">
                  <c:v>1335.3695529117238</c:v>
                </c:pt>
                <c:pt idx="83">
                  <c:v>1381.200771337207</c:v>
                </c:pt>
                <c:pt idx="84">
                  <c:v>1342.5147189328231</c:v>
                </c:pt>
                <c:pt idx="85">
                  <c:v>1380.1548041075428</c:v>
                </c:pt>
                <c:pt idx="86">
                  <c:v>1366.3008101839112</c:v>
                </c:pt>
                <c:pt idx="87">
                  <c:v>1324.4223240509641</c:v>
                </c:pt>
                <c:pt idx="88">
                  <c:v>1368.395794054104</c:v>
                </c:pt>
                <c:pt idx="89">
                  <c:v>1398.4963963359123</c:v>
                </c:pt>
                <c:pt idx="90">
                  <c:v>1458.2527488549495</c:v>
                </c:pt>
                <c:pt idx="91">
                  <c:v>1447.7693698434312</c:v>
                </c:pt>
                <c:pt idx="92">
                  <c:v>1434.4035630210365</c:v>
                </c:pt>
                <c:pt idx="93">
                  <c:v>1407.1212072523763</c:v>
                </c:pt>
                <c:pt idx="94">
                  <c:v>1467.9806065872488</c:v>
                </c:pt>
                <c:pt idx="95">
                  <c:v>1473.4899378037705</c:v>
                </c:pt>
                <c:pt idx="96">
                  <c:v>1536.5052084838867</c:v>
                </c:pt>
                <c:pt idx="97">
                  <c:v>1527.0526284412938</c:v>
                </c:pt>
                <c:pt idx="98">
                  <c:v>1559.8720435317541</c:v>
                </c:pt>
                <c:pt idx="99">
                  <c:v>1584.0485003344527</c:v>
                </c:pt>
                <c:pt idx="100">
                  <c:v>1519.9293851379148</c:v>
                </c:pt>
                <c:pt idx="101">
                  <c:v>1504.4245854801229</c:v>
                </c:pt>
                <c:pt idx="102">
                  <c:v>1490.7478615735231</c:v>
                </c:pt>
                <c:pt idx="103">
                  <c:v>1519.1525713279448</c:v>
                </c:pt>
                <c:pt idx="104">
                  <c:v>1549.9245258127637</c:v>
                </c:pt>
                <c:pt idx="105">
                  <c:v>1604.7081581021419</c:v>
                </c:pt>
                <c:pt idx="106">
                  <c:v>1648.0208359974768</c:v>
                </c:pt>
                <c:pt idx="107">
                  <c:v>1682.3655902196642</c:v>
                </c:pt>
                <c:pt idx="108">
                  <c:v>1711.2804076187697</c:v>
                </c:pt>
                <c:pt idx="109">
                  <c:v>1689.8620220370133</c:v>
                </c:pt>
                <c:pt idx="110">
                  <c:v>1721.1853044774916</c:v>
                </c:pt>
                <c:pt idx="111">
                  <c:v>1789.7762600462243</c:v>
                </c:pt>
                <c:pt idx="112">
                  <c:v>1864.7965217623218</c:v>
                </c:pt>
                <c:pt idx="113">
                  <c:v>1838.4320285376461</c:v>
                </c:pt>
                <c:pt idx="114">
                  <c:v>1757.9877582649242</c:v>
                </c:pt>
                <c:pt idx="115">
                  <c:v>1771.9321171634817</c:v>
                </c:pt>
                <c:pt idx="116">
                  <c:v>1809.9453768729898</c:v>
                </c:pt>
                <c:pt idx="117">
                  <c:v>1837.8565445297479</c:v>
                </c:pt>
                <c:pt idx="118">
                  <c:v>1743.38704242783</c:v>
                </c:pt>
                <c:pt idx="119">
                  <c:v>1723.2561522489159</c:v>
                </c:pt>
                <c:pt idx="120">
                  <c:v>1619.5109621150743</c:v>
                </c:pt>
                <c:pt idx="121">
                  <c:v>1579.1057831212654</c:v>
                </c:pt>
                <c:pt idx="122">
                  <c:v>1567.9115022247188</c:v>
                </c:pt>
                <c:pt idx="123">
                  <c:v>1636.7945582519574</c:v>
                </c:pt>
                <c:pt idx="124">
                  <c:v>1684.9032239080991</c:v>
                </c:pt>
                <c:pt idx="125">
                  <c:v>1514.3354158422105</c:v>
                </c:pt>
                <c:pt idx="126">
                  <c:v>1532.9496267737429</c:v>
                </c:pt>
                <c:pt idx="127">
                  <c:v>1581.1287005936147</c:v>
                </c:pt>
                <c:pt idx="128">
                  <c:v>1425.6436664346397</c:v>
                </c:pt>
                <c:pt idx="129">
                  <c:v>1159.1580753736775</c:v>
                </c:pt>
                <c:pt idx="130">
                  <c:v>1070.3294737416418</c:v>
                </c:pt>
                <c:pt idx="131">
                  <c:v>1105.3121222614136</c:v>
                </c:pt>
                <c:pt idx="132">
                  <c:v>1034.1454959574901</c:v>
                </c:pt>
                <c:pt idx="133">
                  <c:v>925.17138017547359</c:v>
                </c:pt>
                <c:pt idx="134">
                  <c:v>993.00217025579889</c:v>
                </c:pt>
                <c:pt idx="135">
                  <c:v>1095.3052258442324</c:v>
                </c:pt>
                <c:pt idx="136">
                  <c:v>1157.5766138491547</c:v>
                </c:pt>
                <c:pt idx="137">
                  <c:v>1160.8016222953383</c:v>
                </c:pt>
                <c:pt idx="138">
                  <c:v>1237.5944536182865</c:v>
                </c:pt>
                <c:pt idx="139">
                  <c:v>1274.3213066238627</c:v>
                </c:pt>
                <c:pt idx="140">
                  <c:v>1326.8526538468182</c:v>
                </c:pt>
                <c:pt idx="141">
                  <c:v>1305.6853734599999</c:v>
                </c:pt>
                <c:pt idx="142">
                  <c:v>1365.8448270421695</c:v>
                </c:pt>
                <c:pt idx="143">
                  <c:v>1408.4018201631495</c:v>
                </c:pt>
                <c:pt idx="144">
                  <c:v>1363.7963261167624</c:v>
                </c:pt>
                <c:pt idx="145">
                  <c:v>1406.1708417655364</c:v>
                </c:pt>
                <c:pt idx="146">
                  <c:v>1492.5926955296043</c:v>
                </c:pt>
                <c:pt idx="147">
                  <c:v>1523.8505717593853</c:v>
                </c:pt>
                <c:pt idx="148">
                  <c:v>1395.4676849392288</c:v>
                </c:pt>
                <c:pt idx="149">
                  <c:v>1305.0413789551667</c:v>
                </c:pt>
                <c:pt idx="150">
                  <c:v>1403.4506342180389</c:v>
                </c:pt>
                <c:pt idx="151">
                  <c:v>1321.8161211774782</c:v>
                </c:pt>
                <c:pt idx="152">
                  <c:v>1446.3933251500919</c:v>
                </c:pt>
                <c:pt idx="153">
                  <c:v>1494.569794024191</c:v>
                </c:pt>
                <c:pt idx="154">
                  <c:v>1509.1343766669565</c:v>
                </c:pt>
                <c:pt idx="155">
                  <c:v>1618.863537194411</c:v>
                </c:pt>
                <c:pt idx="156">
                  <c:v>1645.9568373528969</c:v>
                </c:pt>
                <c:pt idx="157">
                  <c:v>1712.562126733219</c:v>
                </c:pt>
                <c:pt idx="158">
                  <c:v>1723.1731616704581</c:v>
                </c:pt>
                <c:pt idx="159">
                  <c:v>1785.3607579019833</c:v>
                </c:pt>
                <c:pt idx="160">
                  <c:v>1774.0540682221899</c:v>
                </c:pt>
                <c:pt idx="161">
                  <c:v>1758.6765675588399</c:v>
                </c:pt>
                <c:pt idx="162">
                  <c:v>1697.5256246282515</c:v>
                </c:pt>
                <c:pt idx="163">
                  <c:v>1576.3545480166622</c:v>
                </c:pt>
                <c:pt idx="164">
                  <c:v>1449.9750511930704</c:v>
                </c:pt>
                <c:pt idx="165">
                  <c:v>1628.1015862820368</c:v>
                </c:pt>
                <c:pt idx="166">
                  <c:v>1632.06764174622</c:v>
                </c:pt>
                <c:pt idx="167">
                  <c:v>1645.4554926114643</c:v>
                </c:pt>
                <c:pt idx="168">
                  <c:v>1741.2407477473628</c:v>
                </c:pt>
                <c:pt idx="169">
                  <c:v>1825.6230156239478</c:v>
                </c:pt>
                <c:pt idx="170">
                  <c:v>1877.392207477996</c:v>
                </c:pt>
                <c:pt idx="171">
                  <c:v>1875.1074211614953</c:v>
                </c:pt>
                <c:pt idx="172">
                  <c:v>1734.6449993497088</c:v>
                </c:pt>
                <c:pt idx="173">
                  <c:v>1792.200520428132</c:v>
                </c:pt>
                <c:pt idx="174">
                  <c:v>1829.942471187828</c:v>
                </c:pt>
                <c:pt idx="175">
                  <c:v>1869.9724627450619</c:v>
                </c:pt>
                <c:pt idx="176">
                  <c:v>1908.1722602140178</c:v>
                </c:pt>
                <c:pt idx="177">
                  <c:v>1878.3933239211178</c:v>
                </c:pt>
                <c:pt idx="178">
                  <c:v>1902.4461504339276</c:v>
                </c:pt>
                <c:pt idx="179">
                  <c:v>1921.765491091584</c:v>
                </c:pt>
                <c:pt idx="180">
                  <c:v>2037.2559100442236</c:v>
                </c:pt>
                <c:pt idx="181">
                  <c:v>2066.1279008013703</c:v>
                </c:pt>
                <c:pt idx="182">
                  <c:v>2153.3226304709897</c:v>
                </c:pt>
                <c:pt idx="183">
                  <c:v>2178.7641373500041</c:v>
                </c:pt>
                <c:pt idx="184">
                  <c:v>2256.2475263665824</c:v>
                </c:pt>
                <c:pt idx="185">
                  <c:v>2230.8060792592728</c:v>
                </c:pt>
                <c:pt idx="186">
                  <c:v>2369.7964520275218</c:v>
                </c:pt>
                <c:pt idx="187">
                  <c:v>2308.4092447342009</c:v>
                </c:pt>
                <c:pt idx="188">
                  <c:v>2382.5368824011052</c:v>
                </c:pt>
                <c:pt idx="189">
                  <c:v>2481.1334062055103</c:v>
                </c:pt>
                <c:pt idx="190">
                  <c:v>2556.5300881532835</c:v>
                </c:pt>
                <c:pt idx="191">
                  <c:v>2634.394325048168</c:v>
                </c:pt>
                <c:pt idx="192">
                  <c:v>2497.4479704548639</c:v>
                </c:pt>
                <c:pt idx="193">
                  <c:v>2621.1790352551088</c:v>
                </c:pt>
                <c:pt idx="194">
                  <c:v>2637.1551214749884</c:v>
                </c:pt>
                <c:pt idx="195">
                  <c:v>2646.7807376683718</c:v>
                </c:pt>
                <c:pt idx="196">
                  <c:v>2703.3265613479189</c:v>
                </c:pt>
                <c:pt idx="197">
                  <c:v>2768.6551510294526</c:v>
                </c:pt>
                <c:pt idx="198">
                  <c:v>2718.0524408340871</c:v>
                </c:pt>
                <c:pt idx="199">
                  <c:v>2832.5096291176105</c:v>
                </c:pt>
                <c:pt idx="200">
                  <c:v>2746.1237504487817</c:v>
                </c:pt>
                <c:pt idx="201">
                  <c:v>2791.9730325862747</c:v>
                </c:pt>
                <c:pt idx="202">
                  <c:v>2835.4077570542195</c:v>
                </c:pt>
                <c:pt idx="203">
                  <c:v>2824.3695146560071</c:v>
                </c:pt>
                <c:pt idx="204">
                  <c:v>2743.2395003475135</c:v>
                </c:pt>
                <c:pt idx="205">
                  <c:v>2932.122512904441</c:v>
                </c:pt>
                <c:pt idx="206">
                  <c:v>2898.3004797180884</c:v>
                </c:pt>
                <c:pt idx="207">
                  <c:v>2914.8034026496034</c:v>
                </c:pt>
                <c:pt idx="208">
                  <c:v>2985.8954576402271</c:v>
                </c:pt>
                <c:pt idx="209">
                  <c:v>2887.4176395517948</c:v>
                </c:pt>
                <c:pt idx="210">
                  <c:v>2865.8024311021099</c:v>
                </c:pt>
                <c:pt idx="211">
                  <c:v>2694.1580602936801</c:v>
                </c:pt>
                <c:pt idx="212">
                  <c:v>2591.9093735894144</c:v>
                </c:pt>
                <c:pt idx="213">
                  <c:v>2776.5906921857809</c:v>
                </c:pt>
                <c:pt idx="214">
                  <c:v>2782.9601912336552</c:v>
                </c:pt>
                <c:pt idx="215">
                  <c:v>2724.879812042609</c:v>
                </c:pt>
                <c:pt idx="216">
                  <c:v>2538.8495423946483</c:v>
                </c:pt>
                <c:pt idx="217">
                  <c:v>2540.18751610349</c:v>
                </c:pt>
                <c:pt idx="218">
                  <c:v>2719.5476164280412</c:v>
                </c:pt>
                <c:pt idx="219">
                  <c:v>2719.5476164280412</c:v>
                </c:pt>
                <c:pt idx="220">
                  <c:v>2758.4371473429624</c:v>
                </c:pt>
                <c:pt idx="221">
                  <c:v>2749.223967270837</c:v>
                </c:pt>
                <c:pt idx="222">
                  <c:v>2878.2203050391518</c:v>
                </c:pt>
                <c:pt idx="223">
                  <c:v>2903.7501191448487</c:v>
                </c:pt>
                <c:pt idx="224">
                  <c:v>2895.6893088141028</c:v>
                </c:pt>
                <c:pt idx="225">
                  <c:v>2804.1478826945627</c:v>
                </c:pt>
                <c:pt idx="226">
                  <c:v>2923.9607092784531</c:v>
                </c:pt>
                <c:pt idx="227">
                  <c:v>2981.9867095540844</c:v>
                </c:pt>
                <c:pt idx="228">
                  <c:v>3024.1251637467931</c:v>
                </c:pt>
                <c:pt idx="229">
                  <c:v>3115.4235024403088</c:v>
                </c:pt>
                <c:pt idx="230">
                  <c:v>3109.8063938654091</c:v>
                </c:pt>
                <c:pt idx="231">
                  <c:v>3146.3932660892356</c:v>
                </c:pt>
                <c:pt idx="232">
                  <c:v>3147.7997038791777</c:v>
                </c:pt>
                <c:pt idx="233">
                  <c:v>3192.7975006461306</c:v>
                </c:pt>
                <c:pt idx="234">
                  <c:v>3218.1706623837654</c:v>
                </c:pt>
                <c:pt idx="235">
                  <c:v>3188.5699286311592</c:v>
                </c:pt>
                <c:pt idx="236">
                  <c:v>3300.8044015490473</c:v>
                </c:pt>
                <c:pt idx="237">
                  <c:v>3354.6372205339103</c:v>
                </c:pt>
                <c:pt idx="238">
                  <c:v>3480.7179058304569</c:v>
                </c:pt>
                <c:pt idx="239">
                  <c:v>3520.8436218488705</c:v>
                </c:pt>
                <c:pt idx="240">
                  <c:v>3658.2480650351445</c:v>
                </c:pt>
                <c:pt idx="241">
                  <c:v>3482.4290047814902</c:v>
                </c:pt>
                <c:pt idx="242">
                  <c:v>3402.4759172607123</c:v>
                </c:pt>
                <c:pt idx="243">
                  <c:v>3398.0254787609356</c:v>
                </c:pt>
                <c:pt idx="244">
                  <c:v>3448.4759630440994</c:v>
                </c:pt>
                <c:pt idx="245">
                  <c:v>3436.7235569620452</c:v>
                </c:pt>
                <c:pt idx="246">
                  <c:v>3585.5646174905146</c:v>
                </c:pt>
                <c:pt idx="247">
                  <c:v>3628.7276443558653</c:v>
                </c:pt>
                <c:pt idx="248">
                  <c:v>3642.4841508556187</c:v>
                </c:pt>
                <c:pt idx="249">
                  <c:v>3424.6198888246427</c:v>
                </c:pt>
                <c:pt idx="250">
                  <c:v>3490.2767013331886</c:v>
                </c:pt>
                <c:pt idx="251">
                  <c:v>3152.9519289794398</c:v>
                </c:pt>
                <c:pt idx="252">
                  <c:v>3364.1366491824829</c:v>
                </c:pt>
                <c:pt idx="253">
                  <c:v>3462.3189772888736</c:v>
                </c:pt>
                <c:pt idx="254">
                  <c:v>3486.9464521743289</c:v>
                </c:pt>
                <c:pt idx="255">
                  <c:v>3622.6339994677883</c:v>
                </c:pt>
                <c:pt idx="256">
                  <c:v>3420.0345704135525</c:v>
                </c:pt>
                <c:pt idx="257">
                  <c:v>3633.8995922052231</c:v>
                </c:pt>
                <c:pt idx="258">
                  <c:v>3678.6692351811921</c:v>
                </c:pt>
                <c:pt idx="259">
                  <c:v>3622.7056401063805</c:v>
                </c:pt>
                <c:pt idx="260">
                  <c:v>3716.1642002098447</c:v>
                </c:pt>
                <c:pt idx="261">
                  <c:v>3716.1642002098447</c:v>
                </c:pt>
                <c:pt idx="262">
                  <c:v>3813.5128375985423</c:v>
                </c:pt>
                <c:pt idx="263">
                  <c:v>3945.8722411659123</c:v>
                </c:pt>
                <c:pt idx="264">
                  <c:v>3835.7942432541072</c:v>
                </c:pt>
                <c:pt idx="265">
                  <c:v>3398.3065666340035</c:v>
                </c:pt>
                <c:pt idx="266">
                  <c:v>2901.5421127234449</c:v>
                </c:pt>
                <c:pt idx="267">
                  <c:v>3233.7135553301378</c:v>
                </c:pt>
                <c:pt idx="268">
                  <c:v>3372.8279124804403</c:v>
                </c:pt>
                <c:pt idx="269">
                  <c:v>3332.171844823401</c:v>
                </c:pt>
                <c:pt idx="270">
                  <c:v>3411.9840248506111</c:v>
                </c:pt>
                <c:pt idx="271">
                  <c:v>3500.3475871261921</c:v>
                </c:pt>
                <c:pt idx="272">
                  <c:v>3419.2025293614324</c:v>
                </c:pt>
                <c:pt idx="273">
                  <c:v>3321.8373181353363</c:v>
                </c:pt>
                <c:pt idx="274">
                  <c:v>3782.8850850312938</c:v>
                </c:pt>
                <c:pt idx="275">
                  <c:v>3942.5568815853794</c:v>
                </c:pt>
                <c:pt idx="276">
                  <c:v>3879.1605669294868</c:v>
                </c:pt>
                <c:pt idx="277">
                  <c:v>3999.9110770568682</c:v>
                </c:pt>
                <c:pt idx="278">
                  <c:v>4285.6287252021175</c:v>
                </c:pt>
                <c:pt idx="279">
                  <c:v>4409.8048175148488</c:v>
                </c:pt>
                <c:pt idx="280">
                  <c:v>4537.0100472808817</c:v>
                </c:pt>
                <c:pt idx="281">
                  <c:v>4497.0888958748574</c:v>
                </c:pt>
                <c:pt idx="282">
                  <c:v>4536.6183072695976</c:v>
                </c:pt>
                <c:pt idx="283">
                  <c:v>4643.0382995215277</c:v>
                </c:pt>
                <c:pt idx="284">
                  <c:v>4475.4803333683949</c:v>
                </c:pt>
                <c:pt idx="285">
                  <c:v>4607.1131609334261</c:v>
                </c:pt>
                <c:pt idx="286">
                  <c:v>4435.6870873282542</c:v>
                </c:pt>
                <c:pt idx="287">
                  <c:v>4790.2138134700517</c:v>
                </c:pt>
                <c:pt idx="288">
                  <c:v>4807.1759605835496</c:v>
                </c:pt>
                <c:pt idx="289">
                  <c:v>4800.3930353031656</c:v>
                </c:pt>
                <c:pt idx="290">
                  <c:v>4868.8034364492714</c:v>
                </c:pt>
                <c:pt idx="291">
                  <c:v>4681.281472094428</c:v>
                </c:pt>
                <c:pt idx="292">
                  <c:v>4885.8534724249548</c:v>
                </c:pt>
                <c:pt idx="293">
                  <c:v>4485.6727579125163</c:v>
                </c:pt>
                <c:pt idx="294">
                  <c:v>4602.2733355816945</c:v>
                </c:pt>
                <c:pt idx="295">
                  <c:v>4537.1143496965287</c:v>
                </c:pt>
                <c:pt idx="296">
                  <c:v>4215.3376629017012</c:v>
                </c:pt>
                <c:pt idx="297">
                  <c:v>4829.8580180748377</c:v>
                </c:pt>
                <c:pt idx="298">
                  <c:v>5126.7590501619343</c:v>
                </c:pt>
                <c:pt idx="299">
                  <c:v>4938.0071622121222</c:v>
                </c:pt>
                <c:pt idx="300">
                  <c:v>5141.7888417822924</c:v>
                </c:pt>
                <c:pt idx="301">
                  <c:v>4919.812675693709</c:v>
                </c:pt>
                <c:pt idx="302">
                  <c:v>4776.3164993817509</c:v>
                </c:pt>
                <c:pt idx="303">
                  <c:v>4842.1962328577229</c:v>
                </c:pt>
                <c:pt idx="304">
                  <c:v>4684.815170897381</c:v>
                </c:pt>
                <c:pt idx="305">
                  <c:v>5033.4872248065903</c:v>
                </c:pt>
                <c:pt idx="306">
                  <c:v>5206.5485825698897</c:v>
                </c:pt>
                <c:pt idx="307">
                  <c:v>5154.9985450538652</c:v>
                </c:pt>
                <c:pt idx="308">
                  <c:v>5047.6457003531186</c:v>
                </c:pt>
                <c:pt idx="309">
                  <c:v>4884.581506003211</c:v>
                </c:pt>
                <c:pt idx="310">
                  <c:v>5144.006514368547</c:v>
                </c:pt>
                <c:pt idx="311">
                  <c:v>5529.3131783208091</c:v>
                </c:pt>
                <c:pt idx="312">
                  <c:v>5591.8331224280819</c:v>
                </c:pt>
                <c:pt idx="313">
                  <c:v>5783.3086722062644</c:v>
                </c:pt>
                <c:pt idx="314">
                  <c:v>6149.6754932818594</c:v>
                </c:pt>
                <c:pt idx="315">
                  <c:v>5862.8238798977272</c:v>
                </c:pt>
                <c:pt idx="316">
                  <c:v>5992.4978184733054</c:v>
                </c:pt>
                <c:pt idx="317">
                  <c:v>6047.6647533901705</c:v>
                </c:pt>
                <c:pt idx="318">
                  <c:v>6260.9719369069953</c:v>
                </c:pt>
                <c:pt idx="319">
                  <c:v>6308.3737554413183</c:v>
                </c:pt>
                <c:pt idx="320">
                  <c:v>6373.0156613133249</c:v>
                </c:pt>
                <c:pt idx="321">
                  <c:v>6380.956438827322</c:v>
                </c:pt>
                <c:pt idx="322">
                  <c:v>6809.7949972551514</c:v>
                </c:pt>
                <c:pt idx="323">
                  <c:v>6367.6486276733694</c:v>
                </c:pt>
              </c:numCache>
            </c:numRef>
          </c:val>
          <c:smooth val="0"/>
          <c:extLst>
            <c:ext xmlns:c16="http://schemas.microsoft.com/office/drawing/2014/chart" uri="{C3380CC4-5D6E-409C-BE32-E72D297353CC}">
              <c16:uniqueId val="{00000000-CEB7-4C68-AA6C-AE0E49BBD883}"/>
            </c:ext>
          </c:extLst>
        </c:ser>
        <c:ser>
          <c:idx val="1"/>
          <c:order val="1"/>
          <c:tx>
            <c:strRef>
              <c:f>'MF Data '!$N$1</c:f>
              <c:strCache>
                <c:ptCount val="1"/>
                <c:pt idx="0">
                  <c:v>PGWCX</c:v>
                </c:pt>
              </c:strCache>
            </c:strRef>
          </c:tx>
          <c:spPr>
            <a:ln w="28575" cap="rnd">
              <a:solidFill>
                <a:schemeClr val="accent3"/>
              </a:solidFill>
              <a:round/>
            </a:ln>
            <a:effectLst/>
          </c:spPr>
          <c:marker>
            <c:symbol val="none"/>
          </c:marker>
          <c:cat>
            <c:numRef>
              <c:f>'MF Data '!$A$2:$A$325</c:f>
              <c:numCache>
                <c:formatCode>m/d/yyyy</c:formatCode>
                <c:ptCount val="324"/>
                <c:pt idx="0">
                  <c:v>35825</c:v>
                </c:pt>
                <c:pt idx="1">
                  <c:v>35853</c:v>
                </c:pt>
                <c:pt idx="2">
                  <c:v>35885</c:v>
                </c:pt>
                <c:pt idx="3">
                  <c:v>35915</c:v>
                </c:pt>
                <c:pt idx="4">
                  <c:v>35944</c:v>
                </c:pt>
                <c:pt idx="5">
                  <c:v>35976</c:v>
                </c:pt>
                <c:pt idx="6">
                  <c:v>36007</c:v>
                </c:pt>
                <c:pt idx="7">
                  <c:v>36038</c:v>
                </c:pt>
                <c:pt idx="8">
                  <c:v>36068</c:v>
                </c:pt>
                <c:pt idx="9">
                  <c:v>36098</c:v>
                </c:pt>
                <c:pt idx="10">
                  <c:v>36129</c:v>
                </c:pt>
                <c:pt idx="11">
                  <c:v>36160</c:v>
                </c:pt>
                <c:pt idx="12">
                  <c:v>36189</c:v>
                </c:pt>
                <c:pt idx="13">
                  <c:v>36217</c:v>
                </c:pt>
                <c:pt idx="14">
                  <c:v>36250</c:v>
                </c:pt>
                <c:pt idx="15">
                  <c:v>36280</c:v>
                </c:pt>
                <c:pt idx="16">
                  <c:v>36308</c:v>
                </c:pt>
                <c:pt idx="17">
                  <c:v>36341</c:v>
                </c:pt>
                <c:pt idx="18">
                  <c:v>36371</c:v>
                </c:pt>
                <c:pt idx="19">
                  <c:v>36403</c:v>
                </c:pt>
                <c:pt idx="20">
                  <c:v>36433</c:v>
                </c:pt>
                <c:pt idx="21">
                  <c:v>36462</c:v>
                </c:pt>
                <c:pt idx="22">
                  <c:v>36494</c:v>
                </c:pt>
                <c:pt idx="23">
                  <c:v>36525</c:v>
                </c:pt>
                <c:pt idx="24">
                  <c:v>36556</c:v>
                </c:pt>
                <c:pt idx="25">
                  <c:v>36585</c:v>
                </c:pt>
                <c:pt idx="26">
                  <c:v>36616</c:v>
                </c:pt>
                <c:pt idx="27">
                  <c:v>36644</c:v>
                </c:pt>
                <c:pt idx="28">
                  <c:v>36677</c:v>
                </c:pt>
                <c:pt idx="29">
                  <c:v>36707</c:v>
                </c:pt>
                <c:pt idx="30">
                  <c:v>36738</c:v>
                </c:pt>
                <c:pt idx="31">
                  <c:v>36769</c:v>
                </c:pt>
                <c:pt idx="32">
                  <c:v>36798</c:v>
                </c:pt>
                <c:pt idx="33">
                  <c:v>36830</c:v>
                </c:pt>
                <c:pt idx="34">
                  <c:v>36860</c:v>
                </c:pt>
                <c:pt idx="35">
                  <c:v>36889</c:v>
                </c:pt>
                <c:pt idx="36">
                  <c:v>36922</c:v>
                </c:pt>
                <c:pt idx="37">
                  <c:v>36950</c:v>
                </c:pt>
                <c:pt idx="38">
                  <c:v>36980</c:v>
                </c:pt>
                <c:pt idx="39">
                  <c:v>37011</c:v>
                </c:pt>
                <c:pt idx="40">
                  <c:v>37042</c:v>
                </c:pt>
                <c:pt idx="41">
                  <c:v>37071</c:v>
                </c:pt>
                <c:pt idx="42">
                  <c:v>37103</c:v>
                </c:pt>
                <c:pt idx="43">
                  <c:v>37134</c:v>
                </c:pt>
                <c:pt idx="44">
                  <c:v>37162</c:v>
                </c:pt>
                <c:pt idx="45">
                  <c:v>37195</c:v>
                </c:pt>
                <c:pt idx="46">
                  <c:v>37225</c:v>
                </c:pt>
                <c:pt idx="47">
                  <c:v>37256</c:v>
                </c:pt>
                <c:pt idx="48">
                  <c:v>37287</c:v>
                </c:pt>
                <c:pt idx="49">
                  <c:v>37315</c:v>
                </c:pt>
                <c:pt idx="50">
                  <c:v>37343</c:v>
                </c:pt>
                <c:pt idx="51">
                  <c:v>37376</c:v>
                </c:pt>
                <c:pt idx="52">
                  <c:v>37407</c:v>
                </c:pt>
                <c:pt idx="53">
                  <c:v>37435</c:v>
                </c:pt>
                <c:pt idx="54">
                  <c:v>37468</c:v>
                </c:pt>
                <c:pt idx="55">
                  <c:v>37498</c:v>
                </c:pt>
                <c:pt idx="56">
                  <c:v>37529</c:v>
                </c:pt>
                <c:pt idx="57">
                  <c:v>37560</c:v>
                </c:pt>
                <c:pt idx="58">
                  <c:v>37589</c:v>
                </c:pt>
                <c:pt idx="59">
                  <c:v>37621</c:v>
                </c:pt>
                <c:pt idx="60">
                  <c:v>37652</c:v>
                </c:pt>
                <c:pt idx="61">
                  <c:v>37680</c:v>
                </c:pt>
                <c:pt idx="62">
                  <c:v>37711</c:v>
                </c:pt>
                <c:pt idx="63">
                  <c:v>37741</c:v>
                </c:pt>
                <c:pt idx="64">
                  <c:v>37771</c:v>
                </c:pt>
                <c:pt idx="65">
                  <c:v>37802</c:v>
                </c:pt>
                <c:pt idx="66">
                  <c:v>37833</c:v>
                </c:pt>
                <c:pt idx="67">
                  <c:v>37862</c:v>
                </c:pt>
                <c:pt idx="68">
                  <c:v>37894</c:v>
                </c:pt>
                <c:pt idx="69">
                  <c:v>37925</c:v>
                </c:pt>
                <c:pt idx="70">
                  <c:v>37953</c:v>
                </c:pt>
                <c:pt idx="71">
                  <c:v>37986</c:v>
                </c:pt>
                <c:pt idx="72">
                  <c:v>38016</c:v>
                </c:pt>
                <c:pt idx="73">
                  <c:v>38044</c:v>
                </c:pt>
                <c:pt idx="74">
                  <c:v>38077</c:v>
                </c:pt>
                <c:pt idx="75">
                  <c:v>38107</c:v>
                </c:pt>
                <c:pt idx="76">
                  <c:v>38135</c:v>
                </c:pt>
                <c:pt idx="77">
                  <c:v>38168</c:v>
                </c:pt>
                <c:pt idx="78">
                  <c:v>38198</c:v>
                </c:pt>
                <c:pt idx="79">
                  <c:v>38230</c:v>
                </c:pt>
                <c:pt idx="80">
                  <c:v>38260</c:v>
                </c:pt>
                <c:pt idx="81">
                  <c:v>38289</c:v>
                </c:pt>
                <c:pt idx="82">
                  <c:v>38321</c:v>
                </c:pt>
                <c:pt idx="83">
                  <c:v>38352</c:v>
                </c:pt>
                <c:pt idx="84">
                  <c:v>38383</c:v>
                </c:pt>
                <c:pt idx="85">
                  <c:v>38411</c:v>
                </c:pt>
                <c:pt idx="86">
                  <c:v>38442</c:v>
                </c:pt>
                <c:pt idx="87">
                  <c:v>38471</c:v>
                </c:pt>
                <c:pt idx="88">
                  <c:v>38503</c:v>
                </c:pt>
                <c:pt idx="89">
                  <c:v>38533</c:v>
                </c:pt>
                <c:pt idx="90">
                  <c:v>38562</c:v>
                </c:pt>
                <c:pt idx="91">
                  <c:v>38595</c:v>
                </c:pt>
                <c:pt idx="92">
                  <c:v>38625</c:v>
                </c:pt>
                <c:pt idx="93">
                  <c:v>38656</c:v>
                </c:pt>
                <c:pt idx="94">
                  <c:v>38686</c:v>
                </c:pt>
                <c:pt idx="95">
                  <c:v>38716</c:v>
                </c:pt>
                <c:pt idx="96">
                  <c:v>38748</c:v>
                </c:pt>
                <c:pt idx="97">
                  <c:v>38776</c:v>
                </c:pt>
                <c:pt idx="98">
                  <c:v>38807</c:v>
                </c:pt>
                <c:pt idx="99">
                  <c:v>38835</c:v>
                </c:pt>
                <c:pt idx="100">
                  <c:v>38868</c:v>
                </c:pt>
                <c:pt idx="101">
                  <c:v>38898</c:v>
                </c:pt>
                <c:pt idx="102">
                  <c:v>38929</c:v>
                </c:pt>
                <c:pt idx="103">
                  <c:v>38960</c:v>
                </c:pt>
                <c:pt idx="104">
                  <c:v>38989</c:v>
                </c:pt>
                <c:pt idx="105">
                  <c:v>39021</c:v>
                </c:pt>
                <c:pt idx="106">
                  <c:v>39051</c:v>
                </c:pt>
                <c:pt idx="107">
                  <c:v>39080</c:v>
                </c:pt>
                <c:pt idx="108">
                  <c:v>39113</c:v>
                </c:pt>
                <c:pt idx="109">
                  <c:v>39141</c:v>
                </c:pt>
                <c:pt idx="110">
                  <c:v>39171</c:v>
                </c:pt>
                <c:pt idx="111">
                  <c:v>39202</c:v>
                </c:pt>
                <c:pt idx="112">
                  <c:v>39233</c:v>
                </c:pt>
                <c:pt idx="113">
                  <c:v>39262</c:v>
                </c:pt>
                <c:pt idx="114">
                  <c:v>39294</c:v>
                </c:pt>
                <c:pt idx="115">
                  <c:v>39325</c:v>
                </c:pt>
                <c:pt idx="116">
                  <c:v>39353</c:v>
                </c:pt>
                <c:pt idx="117">
                  <c:v>39386</c:v>
                </c:pt>
                <c:pt idx="118">
                  <c:v>39416</c:v>
                </c:pt>
                <c:pt idx="119">
                  <c:v>39447</c:v>
                </c:pt>
                <c:pt idx="120">
                  <c:v>39478</c:v>
                </c:pt>
                <c:pt idx="121">
                  <c:v>39507</c:v>
                </c:pt>
                <c:pt idx="122">
                  <c:v>39538</c:v>
                </c:pt>
                <c:pt idx="123">
                  <c:v>39568</c:v>
                </c:pt>
                <c:pt idx="124">
                  <c:v>39598</c:v>
                </c:pt>
                <c:pt idx="125">
                  <c:v>39629</c:v>
                </c:pt>
                <c:pt idx="126">
                  <c:v>39660</c:v>
                </c:pt>
                <c:pt idx="127">
                  <c:v>39689</c:v>
                </c:pt>
                <c:pt idx="128">
                  <c:v>39721</c:v>
                </c:pt>
                <c:pt idx="129">
                  <c:v>39752</c:v>
                </c:pt>
                <c:pt idx="130">
                  <c:v>39780</c:v>
                </c:pt>
                <c:pt idx="131">
                  <c:v>39813</c:v>
                </c:pt>
                <c:pt idx="132">
                  <c:v>39843</c:v>
                </c:pt>
                <c:pt idx="133">
                  <c:v>39871</c:v>
                </c:pt>
                <c:pt idx="134">
                  <c:v>39903</c:v>
                </c:pt>
                <c:pt idx="135">
                  <c:v>39933</c:v>
                </c:pt>
                <c:pt idx="136">
                  <c:v>39962</c:v>
                </c:pt>
                <c:pt idx="137">
                  <c:v>39994</c:v>
                </c:pt>
                <c:pt idx="138">
                  <c:v>40025</c:v>
                </c:pt>
                <c:pt idx="139">
                  <c:v>40056</c:v>
                </c:pt>
                <c:pt idx="140">
                  <c:v>40086</c:v>
                </c:pt>
                <c:pt idx="141">
                  <c:v>40116</c:v>
                </c:pt>
                <c:pt idx="142">
                  <c:v>40147</c:v>
                </c:pt>
                <c:pt idx="143">
                  <c:v>40178</c:v>
                </c:pt>
                <c:pt idx="144">
                  <c:v>40207</c:v>
                </c:pt>
                <c:pt idx="145">
                  <c:v>40235</c:v>
                </c:pt>
                <c:pt idx="146">
                  <c:v>40268</c:v>
                </c:pt>
                <c:pt idx="147">
                  <c:v>40298</c:v>
                </c:pt>
                <c:pt idx="148">
                  <c:v>40326</c:v>
                </c:pt>
                <c:pt idx="149">
                  <c:v>40359</c:v>
                </c:pt>
                <c:pt idx="150">
                  <c:v>40389</c:v>
                </c:pt>
                <c:pt idx="151">
                  <c:v>40421</c:v>
                </c:pt>
                <c:pt idx="152">
                  <c:v>40451</c:v>
                </c:pt>
                <c:pt idx="153">
                  <c:v>40480</c:v>
                </c:pt>
                <c:pt idx="154">
                  <c:v>40512</c:v>
                </c:pt>
                <c:pt idx="155">
                  <c:v>40543</c:v>
                </c:pt>
                <c:pt idx="156">
                  <c:v>40574</c:v>
                </c:pt>
                <c:pt idx="157">
                  <c:v>40602</c:v>
                </c:pt>
                <c:pt idx="158">
                  <c:v>40633</c:v>
                </c:pt>
                <c:pt idx="159">
                  <c:v>40662</c:v>
                </c:pt>
                <c:pt idx="160">
                  <c:v>40694</c:v>
                </c:pt>
                <c:pt idx="161">
                  <c:v>40724</c:v>
                </c:pt>
                <c:pt idx="162">
                  <c:v>40753</c:v>
                </c:pt>
                <c:pt idx="163">
                  <c:v>40786</c:v>
                </c:pt>
                <c:pt idx="164">
                  <c:v>40816</c:v>
                </c:pt>
                <c:pt idx="165">
                  <c:v>40847</c:v>
                </c:pt>
                <c:pt idx="166">
                  <c:v>40877</c:v>
                </c:pt>
                <c:pt idx="167">
                  <c:v>40907</c:v>
                </c:pt>
                <c:pt idx="168">
                  <c:v>40939</c:v>
                </c:pt>
                <c:pt idx="169">
                  <c:v>40968</c:v>
                </c:pt>
                <c:pt idx="170">
                  <c:v>40998</c:v>
                </c:pt>
                <c:pt idx="171">
                  <c:v>41029</c:v>
                </c:pt>
                <c:pt idx="172">
                  <c:v>41060</c:v>
                </c:pt>
                <c:pt idx="173">
                  <c:v>41089</c:v>
                </c:pt>
                <c:pt idx="174">
                  <c:v>41121</c:v>
                </c:pt>
                <c:pt idx="175">
                  <c:v>41152</c:v>
                </c:pt>
                <c:pt idx="176">
                  <c:v>41180</c:v>
                </c:pt>
                <c:pt idx="177">
                  <c:v>41213</c:v>
                </c:pt>
                <c:pt idx="178">
                  <c:v>41243</c:v>
                </c:pt>
                <c:pt idx="179">
                  <c:v>41274</c:v>
                </c:pt>
                <c:pt idx="180">
                  <c:v>41305</c:v>
                </c:pt>
                <c:pt idx="181">
                  <c:v>41333</c:v>
                </c:pt>
                <c:pt idx="182">
                  <c:v>41361</c:v>
                </c:pt>
                <c:pt idx="183">
                  <c:v>41394</c:v>
                </c:pt>
                <c:pt idx="184">
                  <c:v>41425</c:v>
                </c:pt>
                <c:pt idx="185">
                  <c:v>41453</c:v>
                </c:pt>
                <c:pt idx="186">
                  <c:v>41486</c:v>
                </c:pt>
                <c:pt idx="187">
                  <c:v>41516</c:v>
                </c:pt>
                <c:pt idx="188">
                  <c:v>41547</c:v>
                </c:pt>
                <c:pt idx="189">
                  <c:v>41578</c:v>
                </c:pt>
                <c:pt idx="190">
                  <c:v>41607</c:v>
                </c:pt>
                <c:pt idx="191">
                  <c:v>41639</c:v>
                </c:pt>
                <c:pt idx="192">
                  <c:v>41670</c:v>
                </c:pt>
                <c:pt idx="193">
                  <c:v>41698</c:v>
                </c:pt>
                <c:pt idx="194">
                  <c:v>41729</c:v>
                </c:pt>
                <c:pt idx="195">
                  <c:v>41759</c:v>
                </c:pt>
                <c:pt idx="196">
                  <c:v>41789</c:v>
                </c:pt>
                <c:pt idx="197">
                  <c:v>41820</c:v>
                </c:pt>
                <c:pt idx="198">
                  <c:v>41851</c:v>
                </c:pt>
                <c:pt idx="199">
                  <c:v>41880</c:v>
                </c:pt>
                <c:pt idx="200">
                  <c:v>41912</c:v>
                </c:pt>
                <c:pt idx="201">
                  <c:v>41943</c:v>
                </c:pt>
                <c:pt idx="202">
                  <c:v>41971</c:v>
                </c:pt>
                <c:pt idx="203">
                  <c:v>42004</c:v>
                </c:pt>
                <c:pt idx="204">
                  <c:v>42034</c:v>
                </c:pt>
                <c:pt idx="205">
                  <c:v>42062</c:v>
                </c:pt>
                <c:pt idx="206">
                  <c:v>42094</c:v>
                </c:pt>
                <c:pt idx="207">
                  <c:v>42124</c:v>
                </c:pt>
                <c:pt idx="208">
                  <c:v>42153</c:v>
                </c:pt>
                <c:pt idx="209">
                  <c:v>42185</c:v>
                </c:pt>
                <c:pt idx="210">
                  <c:v>42216</c:v>
                </c:pt>
                <c:pt idx="211">
                  <c:v>42247</c:v>
                </c:pt>
                <c:pt idx="212">
                  <c:v>42277</c:v>
                </c:pt>
                <c:pt idx="213">
                  <c:v>42307</c:v>
                </c:pt>
                <c:pt idx="214">
                  <c:v>42338</c:v>
                </c:pt>
                <c:pt idx="215">
                  <c:v>42369</c:v>
                </c:pt>
                <c:pt idx="216">
                  <c:v>42398</c:v>
                </c:pt>
                <c:pt idx="217">
                  <c:v>42429</c:v>
                </c:pt>
                <c:pt idx="218">
                  <c:v>42460</c:v>
                </c:pt>
                <c:pt idx="219">
                  <c:v>42489</c:v>
                </c:pt>
                <c:pt idx="220">
                  <c:v>42521</c:v>
                </c:pt>
                <c:pt idx="221">
                  <c:v>42551</c:v>
                </c:pt>
                <c:pt idx="222">
                  <c:v>42580</c:v>
                </c:pt>
                <c:pt idx="223">
                  <c:v>42613</c:v>
                </c:pt>
                <c:pt idx="224">
                  <c:v>42643</c:v>
                </c:pt>
                <c:pt idx="225">
                  <c:v>42674</c:v>
                </c:pt>
                <c:pt idx="226">
                  <c:v>42704</c:v>
                </c:pt>
                <c:pt idx="227">
                  <c:v>42734</c:v>
                </c:pt>
                <c:pt idx="228">
                  <c:v>42766</c:v>
                </c:pt>
                <c:pt idx="229">
                  <c:v>42794</c:v>
                </c:pt>
                <c:pt idx="230">
                  <c:v>42825</c:v>
                </c:pt>
                <c:pt idx="231">
                  <c:v>42853</c:v>
                </c:pt>
                <c:pt idx="232">
                  <c:v>42886</c:v>
                </c:pt>
                <c:pt idx="233">
                  <c:v>42916</c:v>
                </c:pt>
                <c:pt idx="234">
                  <c:v>42947</c:v>
                </c:pt>
                <c:pt idx="235">
                  <c:v>42978</c:v>
                </c:pt>
                <c:pt idx="236">
                  <c:v>43007</c:v>
                </c:pt>
                <c:pt idx="237">
                  <c:v>43039</c:v>
                </c:pt>
                <c:pt idx="238">
                  <c:v>43069</c:v>
                </c:pt>
                <c:pt idx="239">
                  <c:v>43098</c:v>
                </c:pt>
                <c:pt idx="240">
                  <c:v>43131</c:v>
                </c:pt>
                <c:pt idx="241">
                  <c:v>43159</c:v>
                </c:pt>
                <c:pt idx="242">
                  <c:v>43188</c:v>
                </c:pt>
                <c:pt idx="243">
                  <c:v>43220</c:v>
                </c:pt>
                <c:pt idx="244">
                  <c:v>43251</c:v>
                </c:pt>
                <c:pt idx="245">
                  <c:v>43280</c:v>
                </c:pt>
                <c:pt idx="246">
                  <c:v>43312</c:v>
                </c:pt>
                <c:pt idx="247">
                  <c:v>43343</c:v>
                </c:pt>
                <c:pt idx="248">
                  <c:v>43371</c:v>
                </c:pt>
                <c:pt idx="249">
                  <c:v>43404</c:v>
                </c:pt>
                <c:pt idx="250">
                  <c:v>43434</c:v>
                </c:pt>
                <c:pt idx="251">
                  <c:v>43465</c:v>
                </c:pt>
                <c:pt idx="252">
                  <c:v>43496</c:v>
                </c:pt>
                <c:pt idx="253">
                  <c:v>43524</c:v>
                </c:pt>
                <c:pt idx="254">
                  <c:v>43553</c:v>
                </c:pt>
                <c:pt idx="255">
                  <c:v>43585</c:v>
                </c:pt>
                <c:pt idx="256">
                  <c:v>43616</c:v>
                </c:pt>
                <c:pt idx="257">
                  <c:v>43644</c:v>
                </c:pt>
                <c:pt idx="258">
                  <c:v>43677</c:v>
                </c:pt>
                <c:pt idx="259">
                  <c:v>43707</c:v>
                </c:pt>
                <c:pt idx="260">
                  <c:v>43738</c:v>
                </c:pt>
                <c:pt idx="261">
                  <c:v>43769</c:v>
                </c:pt>
                <c:pt idx="262">
                  <c:v>43798</c:v>
                </c:pt>
                <c:pt idx="263">
                  <c:v>43830</c:v>
                </c:pt>
                <c:pt idx="264">
                  <c:v>43861</c:v>
                </c:pt>
                <c:pt idx="265">
                  <c:v>43889</c:v>
                </c:pt>
                <c:pt idx="266">
                  <c:v>43921</c:v>
                </c:pt>
                <c:pt idx="267">
                  <c:v>43951</c:v>
                </c:pt>
                <c:pt idx="268">
                  <c:v>43980</c:v>
                </c:pt>
                <c:pt idx="269">
                  <c:v>44012</c:v>
                </c:pt>
                <c:pt idx="270">
                  <c:v>44043</c:v>
                </c:pt>
                <c:pt idx="271">
                  <c:v>44074</c:v>
                </c:pt>
                <c:pt idx="272">
                  <c:v>44104</c:v>
                </c:pt>
                <c:pt idx="273">
                  <c:v>44134</c:v>
                </c:pt>
                <c:pt idx="274">
                  <c:v>44165</c:v>
                </c:pt>
                <c:pt idx="275">
                  <c:v>44196</c:v>
                </c:pt>
                <c:pt idx="276">
                  <c:v>44225</c:v>
                </c:pt>
                <c:pt idx="277">
                  <c:v>44253</c:v>
                </c:pt>
                <c:pt idx="278">
                  <c:v>44286</c:v>
                </c:pt>
                <c:pt idx="279">
                  <c:v>44316</c:v>
                </c:pt>
                <c:pt idx="280">
                  <c:v>44344</c:v>
                </c:pt>
                <c:pt idx="281">
                  <c:v>44377</c:v>
                </c:pt>
                <c:pt idx="282">
                  <c:v>44407</c:v>
                </c:pt>
                <c:pt idx="283">
                  <c:v>44439</c:v>
                </c:pt>
                <c:pt idx="284">
                  <c:v>44469</c:v>
                </c:pt>
                <c:pt idx="285">
                  <c:v>44498</c:v>
                </c:pt>
                <c:pt idx="286">
                  <c:v>44530</c:v>
                </c:pt>
                <c:pt idx="287">
                  <c:v>44561</c:v>
                </c:pt>
                <c:pt idx="288">
                  <c:v>44592</c:v>
                </c:pt>
                <c:pt idx="289">
                  <c:v>44620</c:v>
                </c:pt>
                <c:pt idx="290">
                  <c:v>44651</c:v>
                </c:pt>
                <c:pt idx="291">
                  <c:v>44680</c:v>
                </c:pt>
                <c:pt idx="292">
                  <c:v>44712</c:v>
                </c:pt>
                <c:pt idx="293">
                  <c:v>44742</c:v>
                </c:pt>
                <c:pt idx="294">
                  <c:v>44771</c:v>
                </c:pt>
                <c:pt idx="295">
                  <c:v>44804</c:v>
                </c:pt>
                <c:pt idx="296">
                  <c:v>44834</c:v>
                </c:pt>
                <c:pt idx="297">
                  <c:v>44865</c:v>
                </c:pt>
                <c:pt idx="298">
                  <c:v>44895</c:v>
                </c:pt>
                <c:pt idx="299">
                  <c:v>44925</c:v>
                </c:pt>
                <c:pt idx="300">
                  <c:v>44957</c:v>
                </c:pt>
                <c:pt idx="301">
                  <c:v>44985</c:v>
                </c:pt>
                <c:pt idx="302">
                  <c:v>45016</c:v>
                </c:pt>
                <c:pt idx="303">
                  <c:v>45044</c:v>
                </c:pt>
                <c:pt idx="304">
                  <c:v>45077</c:v>
                </c:pt>
                <c:pt idx="305">
                  <c:v>45107</c:v>
                </c:pt>
                <c:pt idx="306">
                  <c:v>45138</c:v>
                </c:pt>
                <c:pt idx="307">
                  <c:v>45169</c:v>
                </c:pt>
                <c:pt idx="308">
                  <c:v>45198</c:v>
                </c:pt>
                <c:pt idx="309">
                  <c:v>45230</c:v>
                </c:pt>
                <c:pt idx="310">
                  <c:v>45260</c:v>
                </c:pt>
                <c:pt idx="311">
                  <c:v>45289</c:v>
                </c:pt>
                <c:pt idx="312">
                  <c:v>45322</c:v>
                </c:pt>
                <c:pt idx="313">
                  <c:v>45351</c:v>
                </c:pt>
                <c:pt idx="314">
                  <c:v>45379</c:v>
                </c:pt>
                <c:pt idx="315">
                  <c:v>45412</c:v>
                </c:pt>
                <c:pt idx="316">
                  <c:v>45443</c:v>
                </c:pt>
                <c:pt idx="317">
                  <c:v>45471</c:v>
                </c:pt>
                <c:pt idx="318">
                  <c:v>45504</c:v>
                </c:pt>
                <c:pt idx="319">
                  <c:v>45534</c:v>
                </c:pt>
                <c:pt idx="320">
                  <c:v>45565</c:v>
                </c:pt>
                <c:pt idx="321">
                  <c:v>45596</c:v>
                </c:pt>
                <c:pt idx="322">
                  <c:v>45625</c:v>
                </c:pt>
                <c:pt idx="323">
                  <c:v>45657</c:v>
                </c:pt>
              </c:numCache>
            </c:numRef>
          </c:cat>
          <c:val>
            <c:numRef>
              <c:f>'MF Data '!$N$2:$N$325</c:f>
              <c:numCache>
                <c:formatCode>General</c:formatCode>
                <c:ptCount val="324"/>
                <c:pt idx="0">
                  <c:v>1021.766</c:v>
                </c:pt>
                <c:pt idx="1">
                  <c:v>1098.7856993140001</c:v>
                </c:pt>
                <c:pt idx="2">
                  <c:v>1172.4570828816052</c:v>
                </c:pt>
                <c:pt idx="3">
                  <c:v>1194.2237486253021</c:v>
                </c:pt>
                <c:pt idx="4">
                  <c:v>1177.4807316695753</c:v>
                </c:pt>
                <c:pt idx="5">
                  <c:v>1269.5691447319896</c:v>
                </c:pt>
                <c:pt idx="6">
                  <c:v>1246.1278200436582</c:v>
                </c:pt>
                <c:pt idx="7">
                  <c:v>1020.091448638119</c:v>
                </c:pt>
                <c:pt idx="8">
                  <c:v>1110.0869765113198</c:v>
                </c:pt>
                <c:pt idx="9">
                  <c:v>1154.4571529624773</c:v>
                </c:pt>
                <c:pt idx="10">
                  <c:v>1241.1037801209229</c:v>
                </c:pt>
                <c:pt idx="11">
                  <c:v>1388.9639200694091</c:v>
                </c:pt>
                <c:pt idx="12">
                  <c:v>1495.5113423779335</c:v>
                </c:pt>
                <c:pt idx="13">
                  <c:v>1432.1584908921195</c:v>
                </c:pt>
                <c:pt idx="14">
                  <c:v>1500.7903900926517</c:v>
                </c:pt>
                <c:pt idx="15">
                  <c:v>1461.9154166180817</c:v>
                </c:pt>
                <c:pt idx="16">
                  <c:v>1385.123923613967</c:v>
                </c:pt>
                <c:pt idx="17">
                  <c:v>1495.0321218288118</c:v>
                </c:pt>
                <c:pt idx="18">
                  <c:v>1431.198735323087</c:v>
                </c:pt>
                <c:pt idx="19">
                  <c:v>1433.5988556022237</c:v>
                </c:pt>
                <c:pt idx="20">
                  <c:v>1425.9190665327626</c:v>
                </c:pt>
                <c:pt idx="21">
                  <c:v>1541.5853434527005</c:v>
                </c:pt>
                <c:pt idx="22">
                  <c:v>1644.2934669602366</c:v>
                </c:pt>
                <c:pt idx="23">
                  <c:v>1942.1670942608855</c:v>
                </c:pt>
                <c:pt idx="24">
                  <c:v>1860.0406165129696</c:v>
                </c:pt>
                <c:pt idx="25">
                  <c:v>2050.3488121508776</c:v>
                </c:pt>
                <c:pt idx="26">
                  <c:v>2144.9375539018342</c:v>
                </c:pt>
                <c:pt idx="27">
                  <c:v>1951.2303883465136</c:v>
                </c:pt>
                <c:pt idx="28">
                  <c:v>1786.975814255504</c:v>
                </c:pt>
                <c:pt idx="29">
                  <c:v>1963.1251681699259</c:v>
                </c:pt>
                <c:pt idx="30">
                  <c:v>2003.9051672883197</c:v>
                </c:pt>
                <c:pt idx="31">
                  <c:v>2205.5421130312052</c:v>
                </c:pt>
                <c:pt idx="32">
                  <c:v>2028.2606379857568</c:v>
                </c:pt>
                <c:pt idx="33">
                  <c:v>1876.4676400995409</c:v>
                </c:pt>
                <c:pt idx="34">
                  <c:v>1605.7308889859792</c:v>
                </c:pt>
                <c:pt idx="35">
                  <c:v>1653.6121783646522</c:v>
                </c:pt>
                <c:pt idx="36">
                  <c:v>1628.483887702223</c:v>
                </c:pt>
                <c:pt idx="37">
                  <c:v>1415.1932105104243</c:v>
                </c:pt>
                <c:pt idx="38">
                  <c:v>1261.9674112220396</c:v>
                </c:pt>
                <c:pt idx="39">
                  <c:v>1390.6767294599865</c:v>
                </c:pt>
                <c:pt idx="40">
                  <c:v>1362.4835401236442</c:v>
                </c:pt>
                <c:pt idx="41">
                  <c:v>1317.1291880400083</c:v>
                </c:pt>
                <c:pt idx="42">
                  <c:v>1280.9674061823698</c:v>
                </c:pt>
                <c:pt idx="43">
                  <c:v>1177.9994031712124</c:v>
                </c:pt>
                <c:pt idx="44">
                  <c:v>1065.8385459970718</c:v>
                </c:pt>
                <c:pt idx="45">
                  <c:v>1086.0638982459125</c:v>
                </c:pt>
                <c:pt idx="46">
                  <c:v>1172.483088693238</c:v>
                </c:pt>
                <c:pt idx="47">
                  <c:v>1164.3894379319886</c:v>
                </c:pt>
                <c:pt idx="48">
                  <c:v>1142.758575343526</c:v>
                </c:pt>
                <c:pt idx="49">
                  <c:v>1108.1478463720966</c:v>
                </c:pt>
                <c:pt idx="50">
                  <c:v>1156.355602132822</c:v>
                </c:pt>
                <c:pt idx="51">
                  <c:v>1088.3711435722291</c:v>
                </c:pt>
                <c:pt idx="52">
                  <c:v>1066.1215722841821</c:v>
                </c:pt>
                <c:pt idx="53">
                  <c:v>970.9435689185118</c:v>
                </c:pt>
                <c:pt idx="54">
                  <c:v>891.83399975373823</c:v>
                </c:pt>
                <c:pt idx="55">
                  <c:v>901.72265514300761</c:v>
                </c:pt>
                <c:pt idx="56">
                  <c:v>809.01654896775506</c:v>
                </c:pt>
                <c:pt idx="57">
                  <c:v>862.78621586179895</c:v>
                </c:pt>
                <c:pt idx="58">
                  <c:v>871.43909882067703</c:v>
                </c:pt>
                <c:pt idx="59">
                  <c:v>818.28741386630747</c:v>
                </c:pt>
                <c:pt idx="60">
                  <c:v>797.27379307822071</c:v>
                </c:pt>
                <c:pt idx="61">
                  <c:v>784.912860190336</c:v>
                </c:pt>
                <c:pt idx="62">
                  <c:v>793.56573956107422</c:v>
                </c:pt>
                <c:pt idx="63">
                  <c:v>843.627040675545</c:v>
                </c:pt>
                <c:pt idx="64">
                  <c:v>874.52909917549016</c:v>
                </c:pt>
                <c:pt idx="65">
                  <c:v>888.7436951534886</c:v>
                </c:pt>
                <c:pt idx="66">
                  <c:v>916.55515160592677</c:v>
                </c:pt>
                <c:pt idx="67">
                  <c:v>928.91581438048445</c:v>
                </c:pt>
                <c:pt idx="68">
                  <c:v>910.99238374201309</c:v>
                </c:pt>
                <c:pt idx="69">
                  <c:v>977.74079569879029</c:v>
                </c:pt>
                <c:pt idx="70">
                  <c:v>988.86553047225129</c:v>
                </c:pt>
                <c:pt idx="71">
                  <c:v>1016.0593325602383</c:v>
                </c:pt>
                <c:pt idx="72">
                  <c:v>1056.2322864510052</c:v>
                </c:pt>
                <c:pt idx="73">
                  <c:v>1067.3565248919072</c:v>
                </c:pt>
                <c:pt idx="74">
                  <c:v>1054.9954689771341</c:v>
                </c:pt>
                <c:pt idx="75">
                  <c:v>1014.2051241646021</c:v>
                </c:pt>
                <c:pt idx="76">
                  <c:v>1032.7468222445793</c:v>
                </c:pt>
                <c:pt idx="77">
                  <c:v>1053.1425392370875</c:v>
                </c:pt>
                <c:pt idx="78">
                  <c:v>991.33886932195901</c:v>
                </c:pt>
                <c:pt idx="79">
                  <c:v>976.5054658202946</c:v>
                </c:pt>
                <c:pt idx="80">
                  <c:v>999.99139877873858</c:v>
                </c:pt>
                <c:pt idx="81">
                  <c:v>1012.3522924590426</c:v>
                </c:pt>
                <c:pt idx="82">
                  <c:v>1053.7615506297873</c:v>
                </c:pt>
                <c:pt idx="83">
                  <c:v>1104.4411586457763</c:v>
                </c:pt>
                <c:pt idx="84">
                  <c:v>1060.5606069716212</c:v>
                </c:pt>
                <c:pt idx="85">
                  <c:v>1063.032773746472</c:v>
                </c:pt>
                <c:pt idx="86">
                  <c:v>1046.3452852641999</c:v>
                </c:pt>
                <c:pt idx="87">
                  <c:v>1025.3315329002389</c:v>
                </c:pt>
                <c:pt idx="88">
                  <c:v>1078.4826689027216</c:v>
                </c:pt>
                <c:pt idx="89">
                  <c:v>1077.246727764159</c:v>
                </c:pt>
                <c:pt idx="90">
                  <c:v>1128.5441396935605</c:v>
                </c:pt>
                <c:pt idx="91">
                  <c:v>1101.9680537479169</c:v>
                </c:pt>
                <c:pt idx="92">
                  <c:v>1110.6207069059456</c:v>
                </c:pt>
                <c:pt idx="93">
                  <c:v>1108.7670809461194</c:v>
                </c:pt>
                <c:pt idx="94">
                  <c:v>1150.793788382301</c:v>
                </c:pt>
                <c:pt idx="95">
                  <c:v>1156.9747018197024</c:v>
                </c:pt>
                <c:pt idx="96">
                  <c:v>1203.9455607641787</c:v>
                </c:pt>
                <c:pt idx="97">
                  <c:v>1198.3833322734483</c:v>
                </c:pt>
                <c:pt idx="98">
                  <c:v>1210.1262905463957</c:v>
                </c:pt>
                <c:pt idx="99">
                  <c:v>1239.1741620246712</c:v>
                </c:pt>
                <c:pt idx="100">
                  <c:v>1183.5501122397077</c:v>
                </c:pt>
                <c:pt idx="101">
                  <c:v>1177.369613553592</c:v>
                </c:pt>
                <c:pt idx="102">
                  <c:v>1158.2102778322344</c:v>
                </c:pt>
                <c:pt idx="103">
                  <c:v>1190.3482966215233</c:v>
                </c:pt>
                <c:pt idx="104">
                  <c:v>1236.0838588743154</c:v>
                </c:pt>
                <c:pt idx="105">
                  <c:v>1273.7844165699819</c:v>
                </c:pt>
                <c:pt idx="106">
                  <c:v>1315.8116596102918</c:v>
                </c:pt>
                <c:pt idx="107">
                  <c:v>1319.5196168670736</c:v>
                </c:pt>
                <c:pt idx="108">
                  <c:v>1356.602076659889</c:v>
                </c:pt>
                <c:pt idx="109">
                  <c:v>1343.0048540455268</c:v>
                </c:pt>
                <c:pt idx="110">
                  <c:v>1360.3094715899035</c:v>
                </c:pt>
                <c:pt idx="111">
                  <c:v>1417.7879880024634</c:v>
                </c:pt>
                <c:pt idx="112">
                  <c:v>1474.0302196985331</c:v>
                </c:pt>
                <c:pt idx="113">
                  <c:v>1457.342723581326</c:v>
                </c:pt>
                <c:pt idx="114">
                  <c:v>1450.5442197758191</c:v>
                </c:pt>
                <c:pt idx="115">
                  <c:v>1467.8492123177446</c:v>
                </c:pt>
                <c:pt idx="116">
                  <c:v>1551.2846972443099</c:v>
                </c:pt>
                <c:pt idx="117">
                  <c:v>1618.033375197338</c:v>
                </c:pt>
                <c:pt idx="118">
                  <c:v>1545.7218456263938</c:v>
                </c:pt>
                <c:pt idx="119">
                  <c:v>1554.3747965182104</c:v>
                </c:pt>
                <c:pt idx="120">
                  <c:v>1439.4194540669096</c:v>
                </c:pt>
                <c:pt idx="121">
                  <c:v>1391.2118571307547</c:v>
                </c:pt>
                <c:pt idx="122">
                  <c:v>1362.1633535538645</c:v>
                </c:pt>
                <c:pt idx="123">
                  <c:v>1480.8268519353558</c:v>
                </c:pt>
                <c:pt idx="124">
                  <c:v>1534.5971557559803</c:v>
                </c:pt>
                <c:pt idx="125">
                  <c:v>1433.8569908692232</c:v>
                </c:pt>
                <c:pt idx="126">
                  <c:v>1385.6492849792089</c:v>
                </c:pt>
                <c:pt idx="127">
                  <c:v>1405.426657223717</c:v>
                </c:pt>
                <c:pt idx="128">
                  <c:v>1218.777564584464</c:v>
                </c:pt>
                <c:pt idx="129">
                  <c:v>1042.0182543927792</c:v>
                </c:pt>
                <c:pt idx="130">
                  <c:v>956.72801825247586</c:v>
                </c:pt>
                <c:pt idx="131">
                  <c:v>967.85285164871561</c:v>
                </c:pt>
                <c:pt idx="132">
                  <c:v>944.36693435060783</c:v>
                </c:pt>
                <c:pt idx="133">
                  <c:v>859.69499501673238</c:v>
                </c:pt>
                <c:pt idx="134">
                  <c:v>937.56788705533802</c:v>
                </c:pt>
                <c:pt idx="135">
                  <c:v>1008.0242386317725</c:v>
                </c:pt>
                <c:pt idx="136">
                  <c:v>1061.1753406863488</c:v>
                </c:pt>
                <c:pt idx="137">
                  <c:v>1076.0084495984627</c:v>
                </c:pt>
                <c:pt idx="138">
                  <c:v>1154.5000379713219</c:v>
                </c:pt>
                <c:pt idx="139">
                  <c:v>1166.2424578575283</c:v>
                </c:pt>
                <c:pt idx="140">
                  <c:v>1198.9987097713727</c:v>
                </c:pt>
                <c:pt idx="141">
                  <c:v>1178.6037417181617</c:v>
                </c:pt>
                <c:pt idx="142">
                  <c:v>1246.5879627479487</c:v>
                </c:pt>
                <c:pt idx="143">
                  <c:v>1279.9628622745995</c:v>
                </c:pt>
                <c:pt idx="144">
                  <c:v>1213.2140789698415</c:v>
                </c:pt>
                <c:pt idx="145">
                  <c:v>1270.073783208921</c:v>
                </c:pt>
                <c:pt idx="146">
                  <c:v>1350.4186507347174</c:v>
                </c:pt>
                <c:pt idx="147">
                  <c:v>1352.2727755421763</c:v>
                </c:pt>
                <c:pt idx="148">
                  <c:v>1244.1152944087619</c:v>
                </c:pt>
                <c:pt idx="149">
                  <c:v>1173.0402317544838</c:v>
                </c:pt>
                <c:pt idx="150">
                  <c:v>1236.0805868492016</c:v>
                </c:pt>
                <c:pt idx="151">
                  <c:v>1179.2208798541383</c:v>
                </c:pt>
                <c:pt idx="152">
                  <c:v>1290.4685776595777</c:v>
                </c:pt>
                <c:pt idx="153">
                  <c:v>1340.5297251927259</c:v>
                </c:pt>
                <c:pt idx="154">
                  <c:v>1364.6337901814163</c:v>
                </c:pt>
                <c:pt idx="155">
                  <c:v>1436.9443700893394</c:v>
                </c:pt>
                <c:pt idx="156">
                  <c:v>1472.7903843455879</c:v>
                </c:pt>
                <c:pt idx="157">
                  <c:v>1526.5604884876609</c:v>
                </c:pt>
                <c:pt idx="158">
                  <c:v>1542.0108071916445</c:v>
                </c:pt>
                <c:pt idx="159">
                  <c:v>1577.2395860927447</c:v>
                </c:pt>
                <c:pt idx="160">
                  <c:v>1563.6422036210392</c:v>
                </c:pt>
                <c:pt idx="161">
                  <c:v>1533.3575814213068</c:v>
                </c:pt>
                <c:pt idx="162">
                  <c:v>1541.3923751479542</c:v>
                </c:pt>
                <c:pt idx="163">
                  <c:v>1430.1454632564009</c:v>
                </c:pt>
                <c:pt idx="164">
                  <c:v>1307.155813707277</c:v>
                </c:pt>
                <c:pt idx="165">
                  <c:v>1453.6317727238734</c:v>
                </c:pt>
                <c:pt idx="166">
                  <c:v>1449.3057645682472</c:v>
                </c:pt>
                <c:pt idx="167">
                  <c:v>1422.1124405076532</c:v>
                </c:pt>
                <c:pt idx="168">
                  <c:v>1514.8185283919065</c:v>
                </c:pt>
                <c:pt idx="169">
                  <c:v>1590.220135461142</c:v>
                </c:pt>
                <c:pt idx="170">
                  <c:v>1655.1138387490403</c:v>
                </c:pt>
                <c:pt idx="171">
                  <c:v>1642.7534486012623</c:v>
                </c:pt>
                <c:pt idx="172">
                  <c:v>1524.7068285382243</c:v>
                </c:pt>
                <c:pt idx="173">
                  <c:v>1571.6784718050014</c:v>
                </c:pt>
                <c:pt idx="174">
                  <c:v>1587.7473125007357</c:v>
                </c:pt>
                <c:pt idx="175">
                  <c:v>1650.169598091702</c:v>
                </c:pt>
                <c:pt idx="176">
                  <c:v>1686.6333957007344</c:v>
                </c:pt>
                <c:pt idx="177">
                  <c:v>1617.4122745077805</c:v>
                </c:pt>
                <c:pt idx="178">
                  <c:v>1656.966091680868</c:v>
                </c:pt>
                <c:pt idx="179">
                  <c:v>1651.9007463385997</c:v>
                </c:pt>
                <c:pt idx="180">
                  <c:v>1730.1810189060932</c:v>
                </c:pt>
                <c:pt idx="181">
                  <c:v>1742.2248089786985</c:v>
                </c:pt>
                <c:pt idx="182">
                  <c:v>1800.4325398466767</c:v>
                </c:pt>
                <c:pt idx="183">
                  <c:v>1842.5824660370274</c:v>
                </c:pt>
                <c:pt idx="184">
                  <c:v>1855.9632999053886</c:v>
                </c:pt>
                <c:pt idx="185">
                  <c:v>1831.8766081992164</c:v>
                </c:pt>
                <c:pt idx="186">
                  <c:v>1922.199116243087</c:v>
                </c:pt>
                <c:pt idx="187">
                  <c:v>1905.4721395335398</c:v>
                </c:pt>
                <c:pt idx="188">
                  <c:v>2031.2542609362883</c:v>
                </c:pt>
                <c:pt idx="189">
                  <c:v>2126.9283678806487</c:v>
                </c:pt>
                <c:pt idx="190">
                  <c:v>2189.8195127905115</c:v>
                </c:pt>
                <c:pt idx="191">
                  <c:v>2276.282346433532</c:v>
                </c:pt>
                <c:pt idx="192">
                  <c:v>2256.908907383036</c:v>
                </c:pt>
                <c:pt idx="193">
                  <c:v>2388.7913793859639</c:v>
                </c:pt>
                <c:pt idx="194">
                  <c:v>2297.1430093244421</c:v>
                </c:pt>
                <c:pt idx="195">
                  <c:v>2270.3192704045605</c:v>
                </c:pt>
                <c:pt idx="196">
                  <c:v>2350.0460722233574</c:v>
                </c:pt>
                <c:pt idx="197">
                  <c:v>2381.3392857210838</c:v>
                </c:pt>
                <c:pt idx="198">
                  <c:v>2336.6344033102419</c:v>
                </c:pt>
                <c:pt idx="199">
                  <c:v>2450.634122578942</c:v>
                </c:pt>
                <c:pt idx="200">
                  <c:v>2385.0649559952199</c:v>
                </c:pt>
                <c:pt idx="201">
                  <c:v>2452.8699676292081</c:v>
                </c:pt>
                <c:pt idx="202">
                  <c:v>2490.1241566975605</c:v>
                </c:pt>
                <c:pt idx="203">
                  <c:v>2466.7941834734611</c:v>
                </c:pt>
                <c:pt idx="204">
                  <c:v>2445.8831691801565</c:v>
                </c:pt>
                <c:pt idx="205">
                  <c:v>2619.0345763759278</c:v>
                </c:pt>
                <c:pt idx="206">
                  <c:v>2595.6125501593979</c:v>
                </c:pt>
                <c:pt idx="207">
                  <c:v>2594.7767629182463</c:v>
                </c:pt>
                <c:pt idx="208">
                  <c:v>2649.1477152084349</c:v>
                </c:pt>
                <c:pt idx="209">
                  <c:v>2637.4358331594985</c:v>
                </c:pt>
                <c:pt idx="210">
                  <c:v>2738.6500706928273</c:v>
                </c:pt>
                <c:pt idx="211">
                  <c:v>2551.2771101561657</c:v>
                </c:pt>
                <c:pt idx="212">
                  <c:v>2505.2699300287195</c:v>
                </c:pt>
                <c:pt idx="213">
                  <c:v>2712.7188065847477</c:v>
                </c:pt>
                <c:pt idx="214">
                  <c:v>2722.7558661691114</c:v>
                </c:pt>
                <c:pt idx="215">
                  <c:v>2694.7332627944988</c:v>
                </c:pt>
                <c:pt idx="216">
                  <c:v>2513.9894186590836</c:v>
                </c:pt>
                <c:pt idx="217">
                  <c:v>2488.4296882395765</c:v>
                </c:pt>
                <c:pt idx="218">
                  <c:v>2622.6182591778957</c:v>
                </c:pt>
                <c:pt idx="219">
                  <c:v>2657.3076308920417</c:v>
                </c:pt>
                <c:pt idx="220">
                  <c:v>2702.9495467602437</c:v>
                </c:pt>
                <c:pt idx="221">
                  <c:v>2658.221137660455</c:v>
                </c:pt>
                <c:pt idx="222">
                  <c:v>2797.8867344542728</c:v>
                </c:pt>
                <c:pt idx="223">
                  <c:v>2779.6305235119585</c:v>
                </c:pt>
                <c:pt idx="224">
                  <c:v>2786.0208940855127</c:v>
                </c:pt>
                <c:pt idx="225">
                  <c:v>2712.9937144097435</c:v>
                </c:pt>
                <c:pt idx="226">
                  <c:v>2707.5161801003501</c:v>
                </c:pt>
                <c:pt idx="227">
                  <c:v>2714.3770261007244</c:v>
                </c:pt>
                <c:pt idx="228">
                  <c:v>2819.2116956027862</c:v>
                </c:pt>
                <c:pt idx="229">
                  <c:v>2897.6026960107174</c:v>
                </c:pt>
                <c:pt idx="230">
                  <c:v>2944.8249271476043</c:v>
                </c:pt>
                <c:pt idx="231">
                  <c:v>3022.2708779066593</c:v>
                </c:pt>
                <c:pt idx="232">
                  <c:v>3116.7168428412424</c:v>
                </c:pt>
                <c:pt idx="233">
                  <c:v>3094.048961243258</c:v>
                </c:pt>
                <c:pt idx="234">
                  <c:v>3169.6056368768186</c:v>
                </c:pt>
                <c:pt idx="235">
                  <c:v>3232.8836438114276</c:v>
                </c:pt>
                <c:pt idx="236">
                  <c:v>3289.5496283201542</c:v>
                </c:pt>
                <c:pt idx="237">
                  <c:v>3401.9403809213404</c:v>
                </c:pt>
                <c:pt idx="238">
                  <c:v>3538.8854909553288</c:v>
                </c:pt>
                <c:pt idx="239">
                  <c:v>3540.88850014321</c:v>
                </c:pt>
                <c:pt idx="240">
                  <c:v>3795.9386988085257</c:v>
                </c:pt>
                <c:pt idx="241">
                  <c:v>3730.492919702368</c:v>
                </c:pt>
                <c:pt idx="242">
                  <c:v>3604.4097200022675</c:v>
                </c:pt>
                <c:pt idx="243">
                  <c:v>3620.7701357213582</c:v>
                </c:pt>
                <c:pt idx="244">
                  <c:v>3790.1642457509461</c:v>
                </c:pt>
                <c:pt idx="245">
                  <c:v>3793.0523509062082</c:v>
                </c:pt>
                <c:pt idx="246">
                  <c:v>3857.5380339239646</c:v>
                </c:pt>
                <c:pt idx="247">
                  <c:v>4097.1914418195247</c:v>
                </c:pt>
                <c:pt idx="248">
                  <c:v>4105.8529045275309</c:v>
                </c:pt>
                <c:pt idx="249">
                  <c:v>3623.6615394198179</c:v>
                </c:pt>
                <c:pt idx="250">
                  <c:v>3670.8234943553671</c:v>
                </c:pt>
                <c:pt idx="251">
                  <c:v>3314.283749995619</c:v>
                </c:pt>
                <c:pt idx="252">
                  <c:v>3638.8250433626904</c:v>
                </c:pt>
                <c:pt idx="253">
                  <c:v>3764.9066922901638</c:v>
                </c:pt>
                <c:pt idx="254">
                  <c:v>3844.289749897102</c:v>
                </c:pt>
                <c:pt idx="255">
                  <c:v>4019.4009922946643</c:v>
                </c:pt>
                <c:pt idx="256">
                  <c:v>3752.0625934951618</c:v>
                </c:pt>
                <c:pt idx="257">
                  <c:v>4018.2339138777083</c:v>
                </c:pt>
                <c:pt idx="258">
                  <c:v>4071.9335919027699</c:v>
                </c:pt>
                <c:pt idx="259">
                  <c:v>4034.5776731306537</c:v>
                </c:pt>
                <c:pt idx="260">
                  <c:v>3947.0233030460454</c:v>
                </c:pt>
                <c:pt idx="261">
                  <c:v>4057.9267638150332</c:v>
                </c:pt>
                <c:pt idx="262">
                  <c:v>4307.7530250293057</c:v>
                </c:pt>
                <c:pt idx="263">
                  <c:v>4400.2232514645848</c:v>
                </c:pt>
                <c:pt idx="264">
                  <c:v>4539.7543307685264</c:v>
                </c:pt>
                <c:pt idx="265">
                  <c:v>4254.9392235647711</c:v>
                </c:pt>
                <c:pt idx="266">
                  <c:v>3807.5791685383947</c:v>
                </c:pt>
                <c:pt idx="267">
                  <c:v>4411.7277552103824</c:v>
                </c:pt>
                <c:pt idx="268">
                  <c:v>4736.8191500363246</c:v>
                </c:pt>
                <c:pt idx="269">
                  <c:v>4974.1622103680447</c:v>
                </c:pt>
                <c:pt idx="270">
                  <c:v>5359.6647558337791</c:v>
                </c:pt>
                <c:pt idx="271">
                  <c:v>6050.1182083393105</c:v>
                </c:pt>
                <c:pt idx="272">
                  <c:v>5835.7867206906822</c:v>
                </c:pt>
                <c:pt idx="273">
                  <c:v>5581.1830176403892</c:v>
                </c:pt>
                <c:pt idx="274">
                  <c:v>6172.386572333</c:v>
                </c:pt>
                <c:pt idx="275">
                  <c:v>6484.7525395990569</c:v>
                </c:pt>
                <c:pt idx="276">
                  <c:v>6389.7055216261533</c:v>
                </c:pt>
                <c:pt idx="277">
                  <c:v>6533.1096826480089</c:v>
                </c:pt>
                <c:pt idx="278">
                  <c:v>6558.1184265131851</c:v>
                </c:pt>
                <c:pt idx="279">
                  <c:v>7053.3547394913285</c:v>
                </c:pt>
                <c:pt idx="280">
                  <c:v>6903.2805106991718</c:v>
                </c:pt>
                <c:pt idx="281">
                  <c:v>7281.7942843813189</c:v>
                </c:pt>
                <c:pt idx="282">
                  <c:v>7481.8907095218337</c:v>
                </c:pt>
                <c:pt idx="283">
                  <c:v>7787.032140218972</c:v>
                </c:pt>
                <c:pt idx="284">
                  <c:v>7333.4842402440581</c:v>
                </c:pt>
                <c:pt idx="285">
                  <c:v>7853.7289457312108</c:v>
                </c:pt>
                <c:pt idx="286">
                  <c:v>7757.0181274934766</c:v>
                </c:pt>
                <c:pt idx="287">
                  <c:v>7838.5443880134335</c:v>
                </c:pt>
                <c:pt idx="288">
                  <c:v>7090.6531908642955</c:v>
                </c:pt>
                <c:pt idx="289">
                  <c:v>6690.506359344251</c:v>
                </c:pt>
                <c:pt idx="290">
                  <c:v>6988.2338923350699</c:v>
                </c:pt>
                <c:pt idx="291">
                  <c:v>6097.4367298452262</c:v>
                </c:pt>
                <c:pt idx="292">
                  <c:v>5892.5994403428058</c:v>
                </c:pt>
                <c:pt idx="293">
                  <c:v>5361.4582045886264</c:v>
                </c:pt>
                <c:pt idx="294">
                  <c:v>6006.929519297255</c:v>
                </c:pt>
                <c:pt idx="295">
                  <c:v>5628.2226477531594</c:v>
                </c:pt>
                <c:pt idx="296">
                  <c:v>5085.1667009167522</c:v>
                </c:pt>
                <c:pt idx="297">
                  <c:v>5311.4362784407449</c:v>
                </c:pt>
                <c:pt idx="298">
                  <c:v>5563.9100905001469</c:v>
                </c:pt>
                <c:pt idx="299">
                  <c:v>5090.7885598645571</c:v>
                </c:pt>
                <c:pt idx="300">
                  <c:v>5585.6488434033117</c:v>
                </c:pt>
                <c:pt idx="301">
                  <c:v>5498.1608255690853</c:v>
                </c:pt>
                <c:pt idx="302">
                  <c:v>5995.7553766047395</c:v>
                </c:pt>
                <c:pt idx="303">
                  <c:v>6159.799243708645</c:v>
                </c:pt>
                <c:pt idx="304">
                  <c:v>6605.4483993924787</c:v>
                </c:pt>
                <c:pt idx="305">
                  <c:v>7040.1595640048972</c:v>
                </c:pt>
                <c:pt idx="306">
                  <c:v>7215.1356898086742</c:v>
                </c:pt>
                <c:pt idx="307">
                  <c:v>7185.0630042535522</c:v>
                </c:pt>
                <c:pt idx="308">
                  <c:v>6731.2113145268722</c:v>
                </c:pt>
                <c:pt idx="309">
                  <c:v>6684.7323004000637</c:v>
                </c:pt>
                <c:pt idx="310">
                  <c:v>7472.1336027964871</c:v>
                </c:pt>
                <c:pt idx="311">
                  <c:v>7757.0983620063371</c:v>
                </c:pt>
                <c:pt idx="312">
                  <c:v>8026.882485938555</c:v>
                </c:pt>
                <c:pt idx="313">
                  <c:v>8665.0838586305563</c:v>
                </c:pt>
                <c:pt idx="314">
                  <c:v>8897.1607996162584</c:v>
                </c:pt>
                <c:pt idx="315">
                  <c:v>8462.0184592286259</c:v>
                </c:pt>
                <c:pt idx="316">
                  <c:v>9111.8253187312512</c:v>
                </c:pt>
                <c:pt idx="317">
                  <c:v>9834.1561590483525</c:v>
                </c:pt>
                <c:pt idx="318">
                  <c:v>9503.4531557318751</c:v>
                </c:pt>
                <c:pt idx="319">
                  <c:v>9726.8223187041967</c:v>
                </c:pt>
                <c:pt idx="320">
                  <c:v>9967.6000783813997</c:v>
                </c:pt>
                <c:pt idx="321">
                  <c:v>10057.527766288558</c:v>
                </c:pt>
                <c:pt idx="322">
                  <c:v>10672.52547414157</c:v>
                </c:pt>
                <c:pt idx="323">
                  <c:v>10527.13365960734</c:v>
                </c:pt>
              </c:numCache>
            </c:numRef>
          </c:val>
          <c:smooth val="0"/>
          <c:extLst>
            <c:ext xmlns:c16="http://schemas.microsoft.com/office/drawing/2014/chart" uri="{C3380CC4-5D6E-409C-BE32-E72D297353CC}">
              <c16:uniqueId val="{00000001-CEB7-4C68-AA6C-AE0E49BBD883}"/>
            </c:ext>
          </c:extLst>
        </c:ser>
        <c:ser>
          <c:idx val="2"/>
          <c:order val="2"/>
          <c:tx>
            <c:strRef>
              <c:f>'MF Data '!$O$1</c:f>
              <c:strCache>
                <c:ptCount val="1"/>
                <c:pt idx="0">
                  <c:v>SPFIX</c:v>
                </c:pt>
              </c:strCache>
            </c:strRef>
          </c:tx>
          <c:spPr>
            <a:ln w="28575" cap="rnd">
              <a:solidFill>
                <a:schemeClr val="accent5"/>
              </a:solidFill>
              <a:round/>
            </a:ln>
            <a:effectLst/>
          </c:spPr>
          <c:marker>
            <c:symbol val="none"/>
          </c:marker>
          <c:cat>
            <c:numRef>
              <c:f>'MF Data '!$A$2:$A$325</c:f>
              <c:numCache>
                <c:formatCode>m/d/yyyy</c:formatCode>
                <c:ptCount val="324"/>
                <c:pt idx="0">
                  <c:v>35825</c:v>
                </c:pt>
                <c:pt idx="1">
                  <c:v>35853</c:v>
                </c:pt>
                <c:pt idx="2">
                  <c:v>35885</c:v>
                </c:pt>
                <c:pt idx="3">
                  <c:v>35915</c:v>
                </c:pt>
                <c:pt idx="4">
                  <c:v>35944</c:v>
                </c:pt>
                <c:pt idx="5">
                  <c:v>35976</c:v>
                </c:pt>
                <c:pt idx="6">
                  <c:v>36007</c:v>
                </c:pt>
                <c:pt idx="7">
                  <c:v>36038</c:v>
                </c:pt>
                <c:pt idx="8">
                  <c:v>36068</c:v>
                </c:pt>
                <c:pt idx="9">
                  <c:v>36098</c:v>
                </c:pt>
                <c:pt idx="10">
                  <c:v>36129</c:v>
                </c:pt>
                <c:pt idx="11">
                  <c:v>36160</c:v>
                </c:pt>
                <c:pt idx="12">
                  <c:v>36189</c:v>
                </c:pt>
                <c:pt idx="13">
                  <c:v>36217</c:v>
                </c:pt>
                <c:pt idx="14">
                  <c:v>36250</c:v>
                </c:pt>
                <c:pt idx="15">
                  <c:v>36280</c:v>
                </c:pt>
                <c:pt idx="16">
                  <c:v>36308</c:v>
                </c:pt>
                <c:pt idx="17">
                  <c:v>36341</c:v>
                </c:pt>
                <c:pt idx="18">
                  <c:v>36371</c:v>
                </c:pt>
                <c:pt idx="19">
                  <c:v>36403</c:v>
                </c:pt>
                <c:pt idx="20">
                  <c:v>36433</c:v>
                </c:pt>
                <c:pt idx="21">
                  <c:v>36462</c:v>
                </c:pt>
                <c:pt idx="22">
                  <c:v>36494</c:v>
                </c:pt>
                <c:pt idx="23">
                  <c:v>36525</c:v>
                </c:pt>
                <c:pt idx="24">
                  <c:v>36556</c:v>
                </c:pt>
                <c:pt idx="25">
                  <c:v>36585</c:v>
                </c:pt>
                <c:pt idx="26">
                  <c:v>36616</c:v>
                </c:pt>
                <c:pt idx="27">
                  <c:v>36644</c:v>
                </c:pt>
                <c:pt idx="28">
                  <c:v>36677</c:v>
                </c:pt>
                <c:pt idx="29">
                  <c:v>36707</c:v>
                </c:pt>
                <c:pt idx="30">
                  <c:v>36738</c:v>
                </c:pt>
                <c:pt idx="31">
                  <c:v>36769</c:v>
                </c:pt>
                <c:pt idx="32">
                  <c:v>36798</c:v>
                </c:pt>
                <c:pt idx="33">
                  <c:v>36830</c:v>
                </c:pt>
                <c:pt idx="34">
                  <c:v>36860</c:v>
                </c:pt>
                <c:pt idx="35">
                  <c:v>36889</c:v>
                </c:pt>
                <c:pt idx="36">
                  <c:v>36922</c:v>
                </c:pt>
                <c:pt idx="37">
                  <c:v>36950</c:v>
                </c:pt>
                <c:pt idx="38">
                  <c:v>36980</c:v>
                </c:pt>
                <c:pt idx="39">
                  <c:v>37011</c:v>
                </c:pt>
                <c:pt idx="40">
                  <c:v>37042</c:v>
                </c:pt>
                <c:pt idx="41">
                  <c:v>37071</c:v>
                </c:pt>
                <c:pt idx="42">
                  <c:v>37103</c:v>
                </c:pt>
                <c:pt idx="43">
                  <c:v>37134</c:v>
                </c:pt>
                <c:pt idx="44">
                  <c:v>37162</c:v>
                </c:pt>
                <c:pt idx="45">
                  <c:v>37195</c:v>
                </c:pt>
                <c:pt idx="46">
                  <c:v>37225</c:v>
                </c:pt>
                <c:pt idx="47">
                  <c:v>37256</c:v>
                </c:pt>
                <c:pt idx="48">
                  <c:v>37287</c:v>
                </c:pt>
                <c:pt idx="49">
                  <c:v>37315</c:v>
                </c:pt>
                <c:pt idx="50">
                  <c:v>37343</c:v>
                </c:pt>
                <c:pt idx="51">
                  <c:v>37376</c:v>
                </c:pt>
                <c:pt idx="52">
                  <c:v>37407</c:v>
                </c:pt>
                <c:pt idx="53">
                  <c:v>37435</c:v>
                </c:pt>
                <c:pt idx="54">
                  <c:v>37468</c:v>
                </c:pt>
                <c:pt idx="55">
                  <c:v>37498</c:v>
                </c:pt>
                <c:pt idx="56">
                  <c:v>37529</c:v>
                </c:pt>
                <c:pt idx="57">
                  <c:v>37560</c:v>
                </c:pt>
                <c:pt idx="58">
                  <c:v>37589</c:v>
                </c:pt>
                <c:pt idx="59">
                  <c:v>37621</c:v>
                </c:pt>
                <c:pt idx="60">
                  <c:v>37652</c:v>
                </c:pt>
                <c:pt idx="61">
                  <c:v>37680</c:v>
                </c:pt>
                <c:pt idx="62">
                  <c:v>37711</c:v>
                </c:pt>
                <c:pt idx="63">
                  <c:v>37741</c:v>
                </c:pt>
                <c:pt idx="64">
                  <c:v>37771</c:v>
                </c:pt>
                <c:pt idx="65">
                  <c:v>37802</c:v>
                </c:pt>
                <c:pt idx="66">
                  <c:v>37833</c:v>
                </c:pt>
                <c:pt idx="67">
                  <c:v>37862</c:v>
                </c:pt>
                <c:pt idx="68">
                  <c:v>37894</c:v>
                </c:pt>
                <c:pt idx="69">
                  <c:v>37925</c:v>
                </c:pt>
                <c:pt idx="70">
                  <c:v>37953</c:v>
                </c:pt>
                <c:pt idx="71">
                  <c:v>37986</c:v>
                </c:pt>
                <c:pt idx="72">
                  <c:v>38016</c:v>
                </c:pt>
                <c:pt idx="73">
                  <c:v>38044</c:v>
                </c:pt>
                <c:pt idx="74">
                  <c:v>38077</c:v>
                </c:pt>
                <c:pt idx="75">
                  <c:v>38107</c:v>
                </c:pt>
                <c:pt idx="76">
                  <c:v>38135</c:v>
                </c:pt>
                <c:pt idx="77">
                  <c:v>38168</c:v>
                </c:pt>
                <c:pt idx="78">
                  <c:v>38198</c:v>
                </c:pt>
                <c:pt idx="79">
                  <c:v>38230</c:v>
                </c:pt>
                <c:pt idx="80">
                  <c:v>38260</c:v>
                </c:pt>
                <c:pt idx="81">
                  <c:v>38289</c:v>
                </c:pt>
                <c:pt idx="82">
                  <c:v>38321</c:v>
                </c:pt>
                <c:pt idx="83">
                  <c:v>38352</c:v>
                </c:pt>
                <c:pt idx="84">
                  <c:v>38383</c:v>
                </c:pt>
                <c:pt idx="85">
                  <c:v>38411</c:v>
                </c:pt>
                <c:pt idx="86">
                  <c:v>38442</c:v>
                </c:pt>
                <c:pt idx="87">
                  <c:v>38471</c:v>
                </c:pt>
                <c:pt idx="88">
                  <c:v>38503</c:v>
                </c:pt>
                <c:pt idx="89">
                  <c:v>38533</c:v>
                </c:pt>
                <c:pt idx="90">
                  <c:v>38562</c:v>
                </c:pt>
                <c:pt idx="91">
                  <c:v>38595</c:v>
                </c:pt>
                <c:pt idx="92">
                  <c:v>38625</c:v>
                </c:pt>
                <c:pt idx="93">
                  <c:v>38656</c:v>
                </c:pt>
                <c:pt idx="94">
                  <c:v>38686</c:v>
                </c:pt>
                <c:pt idx="95">
                  <c:v>38716</c:v>
                </c:pt>
                <c:pt idx="96">
                  <c:v>38748</c:v>
                </c:pt>
                <c:pt idx="97">
                  <c:v>38776</c:v>
                </c:pt>
                <c:pt idx="98">
                  <c:v>38807</c:v>
                </c:pt>
                <c:pt idx="99">
                  <c:v>38835</c:v>
                </c:pt>
                <c:pt idx="100">
                  <c:v>38868</c:v>
                </c:pt>
                <c:pt idx="101">
                  <c:v>38898</c:v>
                </c:pt>
                <c:pt idx="102">
                  <c:v>38929</c:v>
                </c:pt>
                <c:pt idx="103">
                  <c:v>38960</c:v>
                </c:pt>
                <c:pt idx="104">
                  <c:v>38989</c:v>
                </c:pt>
                <c:pt idx="105">
                  <c:v>39021</c:v>
                </c:pt>
                <c:pt idx="106">
                  <c:v>39051</c:v>
                </c:pt>
                <c:pt idx="107">
                  <c:v>39080</c:v>
                </c:pt>
                <c:pt idx="108">
                  <c:v>39113</c:v>
                </c:pt>
                <c:pt idx="109">
                  <c:v>39141</c:v>
                </c:pt>
                <c:pt idx="110">
                  <c:v>39171</c:v>
                </c:pt>
                <c:pt idx="111">
                  <c:v>39202</c:v>
                </c:pt>
                <c:pt idx="112">
                  <c:v>39233</c:v>
                </c:pt>
                <c:pt idx="113">
                  <c:v>39262</c:v>
                </c:pt>
                <c:pt idx="114">
                  <c:v>39294</c:v>
                </c:pt>
                <c:pt idx="115">
                  <c:v>39325</c:v>
                </c:pt>
                <c:pt idx="116">
                  <c:v>39353</c:v>
                </c:pt>
                <c:pt idx="117">
                  <c:v>39386</c:v>
                </c:pt>
                <c:pt idx="118">
                  <c:v>39416</c:v>
                </c:pt>
                <c:pt idx="119">
                  <c:v>39447</c:v>
                </c:pt>
                <c:pt idx="120">
                  <c:v>39478</c:v>
                </c:pt>
                <c:pt idx="121">
                  <c:v>39507</c:v>
                </c:pt>
                <c:pt idx="122">
                  <c:v>39538</c:v>
                </c:pt>
                <c:pt idx="123">
                  <c:v>39568</c:v>
                </c:pt>
                <c:pt idx="124">
                  <c:v>39598</c:v>
                </c:pt>
                <c:pt idx="125">
                  <c:v>39629</c:v>
                </c:pt>
                <c:pt idx="126">
                  <c:v>39660</c:v>
                </c:pt>
                <c:pt idx="127">
                  <c:v>39689</c:v>
                </c:pt>
                <c:pt idx="128">
                  <c:v>39721</c:v>
                </c:pt>
                <c:pt idx="129">
                  <c:v>39752</c:v>
                </c:pt>
                <c:pt idx="130">
                  <c:v>39780</c:v>
                </c:pt>
                <c:pt idx="131">
                  <c:v>39813</c:v>
                </c:pt>
                <c:pt idx="132">
                  <c:v>39843</c:v>
                </c:pt>
                <c:pt idx="133">
                  <c:v>39871</c:v>
                </c:pt>
                <c:pt idx="134">
                  <c:v>39903</c:v>
                </c:pt>
                <c:pt idx="135">
                  <c:v>39933</c:v>
                </c:pt>
                <c:pt idx="136">
                  <c:v>39962</c:v>
                </c:pt>
                <c:pt idx="137">
                  <c:v>39994</c:v>
                </c:pt>
                <c:pt idx="138">
                  <c:v>40025</c:v>
                </c:pt>
                <c:pt idx="139">
                  <c:v>40056</c:v>
                </c:pt>
                <c:pt idx="140">
                  <c:v>40086</c:v>
                </c:pt>
                <c:pt idx="141">
                  <c:v>40116</c:v>
                </c:pt>
                <c:pt idx="142">
                  <c:v>40147</c:v>
                </c:pt>
                <c:pt idx="143">
                  <c:v>40178</c:v>
                </c:pt>
                <c:pt idx="144">
                  <c:v>40207</c:v>
                </c:pt>
                <c:pt idx="145">
                  <c:v>40235</c:v>
                </c:pt>
                <c:pt idx="146">
                  <c:v>40268</c:v>
                </c:pt>
                <c:pt idx="147">
                  <c:v>40298</c:v>
                </c:pt>
                <c:pt idx="148">
                  <c:v>40326</c:v>
                </c:pt>
                <c:pt idx="149">
                  <c:v>40359</c:v>
                </c:pt>
                <c:pt idx="150">
                  <c:v>40389</c:v>
                </c:pt>
                <c:pt idx="151">
                  <c:v>40421</c:v>
                </c:pt>
                <c:pt idx="152">
                  <c:v>40451</c:v>
                </c:pt>
                <c:pt idx="153">
                  <c:v>40480</c:v>
                </c:pt>
                <c:pt idx="154">
                  <c:v>40512</c:v>
                </c:pt>
                <c:pt idx="155">
                  <c:v>40543</c:v>
                </c:pt>
                <c:pt idx="156">
                  <c:v>40574</c:v>
                </c:pt>
                <c:pt idx="157">
                  <c:v>40602</c:v>
                </c:pt>
                <c:pt idx="158">
                  <c:v>40633</c:v>
                </c:pt>
                <c:pt idx="159">
                  <c:v>40662</c:v>
                </c:pt>
                <c:pt idx="160">
                  <c:v>40694</c:v>
                </c:pt>
                <c:pt idx="161">
                  <c:v>40724</c:v>
                </c:pt>
                <c:pt idx="162">
                  <c:v>40753</c:v>
                </c:pt>
                <c:pt idx="163">
                  <c:v>40786</c:v>
                </c:pt>
                <c:pt idx="164">
                  <c:v>40816</c:v>
                </c:pt>
                <c:pt idx="165">
                  <c:v>40847</c:v>
                </c:pt>
                <c:pt idx="166">
                  <c:v>40877</c:v>
                </c:pt>
                <c:pt idx="167">
                  <c:v>40907</c:v>
                </c:pt>
                <c:pt idx="168">
                  <c:v>40939</c:v>
                </c:pt>
                <c:pt idx="169">
                  <c:v>40968</c:v>
                </c:pt>
                <c:pt idx="170">
                  <c:v>40998</c:v>
                </c:pt>
                <c:pt idx="171">
                  <c:v>41029</c:v>
                </c:pt>
                <c:pt idx="172">
                  <c:v>41060</c:v>
                </c:pt>
                <c:pt idx="173">
                  <c:v>41089</c:v>
                </c:pt>
                <c:pt idx="174">
                  <c:v>41121</c:v>
                </c:pt>
                <c:pt idx="175">
                  <c:v>41152</c:v>
                </c:pt>
                <c:pt idx="176">
                  <c:v>41180</c:v>
                </c:pt>
                <c:pt idx="177">
                  <c:v>41213</c:v>
                </c:pt>
                <c:pt idx="178">
                  <c:v>41243</c:v>
                </c:pt>
                <c:pt idx="179">
                  <c:v>41274</c:v>
                </c:pt>
                <c:pt idx="180">
                  <c:v>41305</c:v>
                </c:pt>
                <c:pt idx="181">
                  <c:v>41333</c:v>
                </c:pt>
                <c:pt idx="182">
                  <c:v>41361</c:v>
                </c:pt>
                <c:pt idx="183">
                  <c:v>41394</c:v>
                </c:pt>
                <c:pt idx="184">
                  <c:v>41425</c:v>
                </c:pt>
                <c:pt idx="185">
                  <c:v>41453</c:v>
                </c:pt>
                <c:pt idx="186">
                  <c:v>41486</c:v>
                </c:pt>
                <c:pt idx="187">
                  <c:v>41516</c:v>
                </c:pt>
                <c:pt idx="188">
                  <c:v>41547</c:v>
                </c:pt>
                <c:pt idx="189">
                  <c:v>41578</c:v>
                </c:pt>
                <c:pt idx="190">
                  <c:v>41607</c:v>
                </c:pt>
                <c:pt idx="191">
                  <c:v>41639</c:v>
                </c:pt>
                <c:pt idx="192">
                  <c:v>41670</c:v>
                </c:pt>
                <c:pt idx="193">
                  <c:v>41698</c:v>
                </c:pt>
                <c:pt idx="194">
                  <c:v>41729</c:v>
                </c:pt>
                <c:pt idx="195">
                  <c:v>41759</c:v>
                </c:pt>
                <c:pt idx="196">
                  <c:v>41789</c:v>
                </c:pt>
                <c:pt idx="197">
                  <c:v>41820</c:v>
                </c:pt>
                <c:pt idx="198">
                  <c:v>41851</c:v>
                </c:pt>
                <c:pt idx="199">
                  <c:v>41880</c:v>
                </c:pt>
                <c:pt idx="200">
                  <c:v>41912</c:v>
                </c:pt>
                <c:pt idx="201">
                  <c:v>41943</c:v>
                </c:pt>
                <c:pt idx="202">
                  <c:v>41971</c:v>
                </c:pt>
                <c:pt idx="203">
                  <c:v>42004</c:v>
                </c:pt>
                <c:pt idx="204">
                  <c:v>42034</c:v>
                </c:pt>
                <c:pt idx="205">
                  <c:v>42062</c:v>
                </c:pt>
                <c:pt idx="206">
                  <c:v>42094</c:v>
                </c:pt>
                <c:pt idx="207">
                  <c:v>42124</c:v>
                </c:pt>
                <c:pt idx="208">
                  <c:v>42153</c:v>
                </c:pt>
                <c:pt idx="209">
                  <c:v>42185</c:v>
                </c:pt>
                <c:pt idx="210">
                  <c:v>42216</c:v>
                </c:pt>
                <c:pt idx="211">
                  <c:v>42247</c:v>
                </c:pt>
                <c:pt idx="212">
                  <c:v>42277</c:v>
                </c:pt>
                <c:pt idx="213">
                  <c:v>42307</c:v>
                </c:pt>
                <c:pt idx="214">
                  <c:v>42338</c:v>
                </c:pt>
                <c:pt idx="215">
                  <c:v>42369</c:v>
                </c:pt>
                <c:pt idx="216">
                  <c:v>42398</c:v>
                </c:pt>
                <c:pt idx="217">
                  <c:v>42429</c:v>
                </c:pt>
                <c:pt idx="218">
                  <c:v>42460</c:v>
                </c:pt>
                <c:pt idx="219">
                  <c:v>42489</c:v>
                </c:pt>
                <c:pt idx="220">
                  <c:v>42521</c:v>
                </c:pt>
                <c:pt idx="221">
                  <c:v>42551</c:v>
                </c:pt>
                <c:pt idx="222">
                  <c:v>42580</c:v>
                </c:pt>
                <c:pt idx="223">
                  <c:v>42613</c:v>
                </c:pt>
                <c:pt idx="224">
                  <c:v>42643</c:v>
                </c:pt>
                <c:pt idx="225">
                  <c:v>42674</c:v>
                </c:pt>
                <c:pt idx="226">
                  <c:v>42704</c:v>
                </c:pt>
                <c:pt idx="227">
                  <c:v>42734</c:v>
                </c:pt>
                <c:pt idx="228">
                  <c:v>42766</c:v>
                </c:pt>
                <c:pt idx="229">
                  <c:v>42794</c:v>
                </c:pt>
                <c:pt idx="230">
                  <c:v>42825</c:v>
                </c:pt>
                <c:pt idx="231">
                  <c:v>42853</c:v>
                </c:pt>
                <c:pt idx="232">
                  <c:v>42886</c:v>
                </c:pt>
                <c:pt idx="233">
                  <c:v>42916</c:v>
                </c:pt>
                <c:pt idx="234">
                  <c:v>42947</c:v>
                </c:pt>
                <c:pt idx="235">
                  <c:v>42978</c:v>
                </c:pt>
                <c:pt idx="236">
                  <c:v>43007</c:v>
                </c:pt>
                <c:pt idx="237">
                  <c:v>43039</c:v>
                </c:pt>
                <c:pt idx="238">
                  <c:v>43069</c:v>
                </c:pt>
                <c:pt idx="239">
                  <c:v>43098</c:v>
                </c:pt>
                <c:pt idx="240">
                  <c:v>43131</c:v>
                </c:pt>
                <c:pt idx="241">
                  <c:v>43159</c:v>
                </c:pt>
                <c:pt idx="242">
                  <c:v>43188</c:v>
                </c:pt>
                <c:pt idx="243">
                  <c:v>43220</c:v>
                </c:pt>
                <c:pt idx="244">
                  <c:v>43251</c:v>
                </c:pt>
                <c:pt idx="245">
                  <c:v>43280</c:v>
                </c:pt>
                <c:pt idx="246">
                  <c:v>43312</c:v>
                </c:pt>
                <c:pt idx="247">
                  <c:v>43343</c:v>
                </c:pt>
                <c:pt idx="248">
                  <c:v>43371</c:v>
                </c:pt>
                <c:pt idx="249">
                  <c:v>43404</c:v>
                </c:pt>
                <c:pt idx="250">
                  <c:v>43434</c:v>
                </c:pt>
                <c:pt idx="251">
                  <c:v>43465</c:v>
                </c:pt>
                <c:pt idx="252">
                  <c:v>43496</c:v>
                </c:pt>
                <c:pt idx="253">
                  <c:v>43524</c:v>
                </c:pt>
                <c:pt idx="254">
                  <c:v>43553</c:v>
                </c:pt>
                <c:pt idx="255">
                  <c:v>43585</c:v>
                </c:pt>
                <c:pt idx="256">
                  <c:v>43616</c:v>
                </c:pt>
                <c:pt idx="257">
                  <c:v>43644</c:v>
                </c:pt>
                <c:pt idx="258">
                  <c:v>43677</c:v>
                </c:pt>
                <c:pt idx="259">
                  <c:v>43707</c:v>
                </c:pt>
                <c:pt idx="260">
                  <c:v>43738</c:v>
                </c:pt>
                <c:pt idx="261">
                  <c:v>43769</c:v>
                </c:pt>
                <c:pt idx="262">
                  <c:v>43798</c:v>
                </c:pt>
                <c:pt idx="263">
                  <c:v>43830</c:v>
                </c:pt>
                <c:pt idx="264">
                  <c:v>43861</c:v>
                </c:pt>
                <c:pt idx="265">
                  <c:v>43889</c:v>
                </c:pt>
                <c:pt idx="266">
                  <c:v>43921</c:v>
                </c:pt>
                <c:pt idx="267">
                  <c:v>43951</c:v>
                </c:pt>
                <c:pt idx="268">
                  <c:v>43980</c:v>
                </c:pt>
                <c:pt idx="269">
                  <c:v>44012</c:v>
                </c:pt>
                <c:pt idx="270">
                  <c:v>44043</c:v>
                </c:pt>
                <c:pt idx="271">
                  <c:v>44074</c:v>
                </c:pt>
                <c:pt idx="272">
                  <c:v>44104</c:v>
                </c:pt>
                <c:pt idx="273">
                  <c:v>44134</c:v>
                </c:pt>
                <c:pt idx="274">
                  <c:v>44165</c:v>
                </c:pt>
                <c:pt idx="275">
                  <c:v>44196</c:v>
                </c:pt>
                <c:pt idx="276">
                  <c:v>44225</c:v>
                </c:pt>
                <c:pt idx="277">
                  <c:v>44253</c:v>
                </c:pt>
                <c:pt idx="278">
                  <c:v>44286</c:v>
                </c:pt>
                <c:pt idx="279">
                  <c:v>44316</c:v>
                </c:pt>
                <c:pt idx="280">
                  <c:v>44344</c:v>
                </c:pt>
                <c:pt idx="281">
                  <c:v>44377</c:v>
                </c:pt>
                <c:pt idx="282">
                  <c:v>44407</c:v>
                </c:pt>
                <c:pt idx="283">
                  <c:v>44439</c:v>
                </c:pt>
                <c:pt idx="284">
                  <c:v>44469</c:v>
                </c:pt>
                <c:pt idx="285">
                  <c:v>44498</c:v>
                </c:pt>
                <c:pt idx="286">
                  <c:v>44530</c:v>
                </c:pt>
                <c:pt idx="287">
                  <c:v>44561</c:v>
                </c:pt>
                <c:pt idx="288">
                  <c:v>44592</c:v>
                </c:pt>
                <c:pt idx="289">
                  <c:v>44620</c:v>
                </c:pt>
                <c:pt idx="290">
                  <c:v>44651</c:v>
                </c:pt>
                <c:pt idx="291">
                  <c:v>44680</c:v>
                </c:pt>
                <c:pt idx="292">
                  <c:v>44712</c:v>
                </c:pt>
                <c:pt idx="293">
                  <c:v>44742</c:v>
                </c:pt>
                <c:pt idx="294">
                  <c:v>44771</c:v>
                </c:pt>
                <c:pt idx="295">
                  <c:v>44804</c:v>
                </c:pt>
                <c:pt idx="296">
                  <c:v>44834</c:v>
                </c:pt>
                <c:pt idx="297">
                  <c:v>44865</c:v>
                </c:pt>
                <c:pt idx="298">
                  <c:v>44895</c:v>
                </c:pt>
                <c:pt idx="299">
                  <c:v>44925</c:v>
                </c:pt>
                <c:pt idx="300">
                  <c:v>44957</c:v>
                </c:pt>
                <c:pt idx="301">
                  <c:v>44985</c:v>
                </c:pt>
                <c:pt idx="302">
                  <c:v>45016</c:v>
                </c:pt>
                <c:pt idx="303">
                  <c:v>45044</c:v>
                </c:pt>
                <c:pt idx="304">
                  <c:v>45077</c:v>
                </c:pt>
                <c:pt idx="305">
                  <c:v>45107</c:v>
                </c:pt>
                <c:pt idx="306">
                  <c:v>45138</c:v>
                </c:pt>
                <c:pt idx="307">
                  <c:v>45169</c:v>
                </c:pt>
                <c:pt idx="308">
                  <c:v>45198</c:v>
                </c:pt>
                <c:pt idx="309">
                  <c:v>45230</c:v>
                </c:pt>
                <c:pt idx="310">
                  <c:v>45260</c:v>
                </c:pt>
                <c:pt idx="311">
                  <c:v>45289</c:v>
                </c:pt>
                <c:pt idx="312">
                  <c:v>45322</c:v>
                </c:pt>
                <c:pt idx="313">
                  <c:v>45351</c:v>
                </c:pt>
                <c:pt idx="314">
                  <c:v>45379</c:v>
                </c:pt>
                <c:pt idx="315">
                  <c:v>45412</c:v>
                </c:pt>
                <c:pt idx="316">
                  <c:v>45443</c:v>
                </c:pt>
                <c:pt idx="317">
                  <c:v>45471</c:v>
                </c:pt>
                <c:pt idx="318">
                  <c:v>45504</c:v>
                </c:pt>
                <c:pt idx="319">
                  <c:v>45534</c:v>
                </c:pt>
                <c:pt idx="320">
                  <c:v>45565</c:v>
                </c:pt>
                <c:pt idx="321">
                  <c:v>45596</c:v>
                </c:pt>
                <c:pt idx="322">
                  <c:v>45625</c:v>
                </c:pt>
                <c:pt idx="323">
                  <c:v>45657</c:v>
                </c:pt>
              </c:numCache>
            </c:numRef>
          </c:cat>
          <c:val>
            <c:numRef>
              <c:f>'MF Data '!$O$2:$O$325</c:f>
              <c:numCache>
                <c:formatCode>General</c:formatCode>
                <c:ptCount val="324"/>
                <c:pt idx="0">
                  <c:v>1010.885</c:v>
                </c:pt>
                <c:pt idx="1">
                  <c:v>1083.2936816649999</c:v>
                </c:pt>
                <c:pt idx="2">
                  <c:v>1138.4755785153334</c:v>
                </c:pt>
                <c:pt idx="3">
                  <c:v>1150.3498787992482</c:v>
                </c:pt>
                <c:pt idx="4">
                  <c:v>1130.4016615509904</c:v>
                </c:pt>
                <c:pt idx="5">
                  <c:v>1175.5555559216446</c:v>
                </c:pt>
                <c:pt idx="6">
                  <c:v>1162.6796959176347</c:v>
                </c:pt>
                <c:pt idx="7">
                  <c:v>996.71879612235159</c:v>
                </c:pt>
                <c:pt idx="8">
                  <c:v>1059.6406570027596</c:v>
                </c:pt>
                <c:pt idx="9">
                  <c:v>1148.3039696961516</c:v>
                </c:pt>
                <c:pt idx="10">
                  <c:v>1217.072449529345</c:v>
                </c:pt>
                <c:pt idx="11">
                  <c:v>1287.4581834305263</c:v>
                </c:pt>
                <c:pt idx="12">
                  <c:v>1343.0712271219913</c:v>
                </c:pt>
                <c:pt idx="13">
                  <c:v>1301.7301516799494</c:v>
                </c:pt>
                <c:pt idx="14">
                  <c:v>1352.7462580544382</c:v>
                </c:pt>
                <c:pt idx="15">
                  <c:v>1402.6098378725828</c:v>
                </c:pt>
                <c:pt idx="16">
                  <c:v>1368.0509340772403</c:v>
                </c:pt>
                <c:pt idx="17">
                  <c:v>1443.5481929252269</c:v>
                </c:pt>
                <c:pt idx="18">
                  <c:v>1399.4593440169047</c:v>
                </c:pt>
                <c:pt idx="19">
                  <c:v>1393.0190321157388</c:v>
                </c:pt>
                <c:pt idx="20">
                  <c:v>1354.8099130838361</c:v>
                </c:pt>
                <c:pt idx="21">
                  <c:v>1440.3878360536899</c:v>
                </c:pt>
                <c:pt idx="22">
                  <c:v>1469.3194661286643</c:v>
                </c:pt>
                <c:pt idx="23">
                  <c:v>1558.0560766465726</c:v>
                </c:pt>
                <c:pt idx="24">
                  <c:v>1479.6562529257938</c:v>
                </c:pt>
                <c:pt idx="25">
                  <c:v>1450.9094912439514</c:v>
                </c:pt>
                <c:pt idx="26">
                  <c:v>1591.3647845438222</c:v>
                </c:pt>
                <c:pt idx="27">
                  <c:v>1542.0770344369309</c:v>
                </c:pt>
                <c:pt idx="28">
                  <c:v>1511.6657332408001</c:v>
                </c:pt>
                <c:pt idx="29">
                  <c:v>1548.6894503793337</c:v>
                </c:pt>
                <c:pt idx="30">
                  <c:v>1527.6613450220832</c:v>
                </c:pt>
                <c:pt idx="31">
                  <c:v>1621.2351853887208</c:v>
                </c:pt>
                <c:pt idx="32">
                  <c:v>1537.3249158985566</c:v>
                </c:pt>
                <c:pt idx="33">
                  <c:v>1531.5261263157872</c:v>
                </c:pt>
                <c:pt idx="34">
                  <c:v>1411.4452888558717</c:v>
                </c:pt>
                <c:pt idx="35">
                  <c:v>1419.3211535676874</c:v>
                </c:pt>
                <c:pt idx="36">
                  <c:v>1468.2082513811727</c:v>
                </c:pt>
                <c:pt idx="37">
                  <c:v>1338.7401795661294</c:v>
                </c:pt>
                <c:pt idx="38">
                  <c:v>1255.7838055991347</c:v>
                </c:pt>
                <c:pt idx="39">
                  <c:v>1351.2208632570578</c:v>
                </c:pt>
                <c:pt idx="40">
                  <c:v>1360.926682717833</c:v>
                </c:pt>
                <c:pt idx="41">
                  <c:v>1327.9010749083193</c:v>
                </c:pt>
                <c:pt idx="42">
                  <c:v>1314.9142023957158</c:v>
                </c:pt>
                <c:pt idx="43">
                  <c:v>1233.2054338588462</c:v>
                </c:pt>
                <c:pt idx="44">
                  <c:v>1134.7216479108786</c:v>
                </c:pt>
                <c:pt idx="45">
                  <c:v>1154.8289155118593</c:v>
                </c:pt>
                <c:pt idx="46">
                  <c:v>1241.7806038764093</c:v>
                </c:pt>
                <c:pt idx="47">
                  <c:v>1251.6825624117196</c:v>
                </c:pt>
                <c:pt idx="48">
                  <c:v>1233.6921289421759</c:v>
                </c:pt>
                <c:pt idx="49">
                  <c:v>1211.3400949500017</c:v>
                </c:pt>
                <c:pt idx="50">
                  <c:v>1255.2366373107998</c:v>
                </c:pt>
                <c:pt idx="51">
                  <c:v>1179.7906392252341</c:v>
                </c:pt>
                <c:pt idx="52">
                  <c:v>1171.0436714260181</c:v>
                </c:pt>
                <c:pt idx="53">
                  <c:v>1087.9335310212423</c:v>
                </c:pt>
                <c:pt idx="54">
                  <c:v>1007.3252719072855</c:v>
                </c:pt>
                <c:pt idx="55">
                  <c:v>1013.3571356354664</c:v>
                </c:pt>
                <c:pt idx="56">
                  <c:v>902.05201457153805</c:v>
                </c:pt>
                <c:pt idx="57">
                  <c:v>981.95307586624108</c:v>
                </c:pt>
                <c:pt idx="58">
                  <c:v>1041.4653239821905</c:v>
                </c:pt>
                <c:pt idx="59">
                  <c:v>979.6106154602403</c:v>
                </c:pt>
                <c:pt idx="60">
                  <c:v>953.04455517957399</c:v>
                </c:pt>
                <c:pt idx="61">
                  <c:v>938.65453544091758</c:v>
                </c:pt>
                <c:pt idx="62">
                  <c:v>947.34929240270685</c:v>
                </c:pt>
                <c:pt idx="63">
                  <c:v>1025.1370901511855</c:v>
                </c:pt>
                <c:pt idx="64">
                  <c:v>1080.1449212716079</c:v>
                </c:pt>
                <c:pt idx="65">
                  <c:v>1094.0744701763267</c:v>
                </c:pt>
                <c:pt idx="66">
                  <c:v>1113.0336866700122</c:v>
                </c:pt>
                <c:pt idx="67">
                  <c:v>1135.3388817508794</c:v>
                </c:pt>
                <c:pt idx="68">
                  <c:v>1122.552695264601</c:v>
                </c:pt>
                <c:pt idx="69">
                  <c:v>1186.3473649364882</c:v>
                </c:pt>
                <c:pt idx="70">
                  <c:v>1196.979410021049</c:v>
                </c:pt>
                <c:pt idx="71">
                  <c:v>1258.7363657016749</c:v>
                </c:pt>
                <c:pt idx="72">
                  <c:v>1281.2035510930841</c:v>
                </c:pt>
                <c:pt idx="73">
                  <c:v>1298.6163885559902</c:v>
                </c:pt>
                <c:pt idx="74">
                  <c:v>1279.1825943012498</c:v>
                </c:pt>
                <c:pt idx="75">
                  <c:v>1258.8960375382262</c:v>
                </c:pt>
                <c:pt idx="76">
                  <c:v>1275.8017524263269</c:v>
                </c:pt>
                <c:pt idx="77">
                  <c:v>1300.4783099217568</c:v>
                </c:pt>
                <c:pt idx="78">
                  <c:v>1256.9408970621962</c:v>
                </c:pt>
                <c:pt idx="79">
                  <c:v>1262.0302507544011</c:v>
                </c:pt>
                <c:pt idx="80">
                  <c:v>1274.8941251003405</c:v>
                </c:pt>
                <c:pt idx="81">
                  <c:v>1294.7608002517791</c:v>
                </c:pt>
                <c:pt idx="82">
                  <c:v>1346.982387608334</c:v>
                </c:pt>
                <c:pt idx="83">
                  <c:v>1392.6760711431714</c:v>
                </c:pt>
                <c:pt idx="84">
                  <c:v>1358.9593834607954</c:v>
                </c:pt>
                <c:pt idx="85">
                  <c:v>1387.5328634574421</c:v>
                </c:pt>
                <c:pt idx="86">
                  <c:v>1362.9596564456108</c:v>
                </c:pt>
                <c:pt idx="87">
                  <c:v>1336.5618538195722</c:v>
                </c:pt>
                <c:pt idx="88">
                  <c:v>1378.455048565693</c:v>
                </c:pt>
                <c:pt idx="89">
                  <c:v>1380.5778693404843</c:v>
                </c:pt>
                <c:pt idx="90">
                  <c:v>1431.2630246575816</c:v>
                </c:pt>
                <c:pt idx="91">
                  <c:v>1417.4398863654387</c:v>
                </c:pt>
                <c:pt idx="92">
                  <c:v>1428.6362440278394</c:v>
                </c:pt>
                <c:pt idx="93">
                  <c:v>1404.9408832843937</c:v>
                </c:pt>
                <c:pt idx="94">
                  <c:v>1457.5320353683785</c:v>
                </c:pt>
                <c:pt idx="95">
                  <c:v>1457.9940730235901</c:v>
                </c:pt>
                <c:pt idx="96">
                  <c:v>1496.3014092982119</c:v>
                </c:pt>
                <c:pt idx="97">
                  <c:v>1499.7833026776489</c:v>
                </c:pt>
                <c:pt idx="98">
                  <c:v>1518.3386216983768</c:v>
                </c:pt>
                <c:pt idx="99">
                  <c:v>1538.1483856956754</c:v>
                </c:pt>
                <c:pt idx="100">
                  <c:v>1493.2852117300897</c:v>
                </c:pt>
                <c:pt idx="101">
                  <c:v>1494.9741173045563</c:v>
                </c:pt>
                <c:pt idx="102">
                  <c:v>1503.7511103472514</c:v>
                </c:pt>
                <c:pt idx="103">
                  <c:v>1539.4426429513435</c:v>
                </c:pt>
                <c:pt idx="104">
                  <c:v>1578.6753387069584</c:v>
                </c:pt>
                <c:pt idx="105">
                  <c:v>1628.5962102675498</c:v>
                </c:pt>
                <c:pt idx="106">
                  <c:v>1659.1356464024871</c:v>
                </c:pt>
                <c:pt idx="107">
                  <c:v>1681.7828479758809</c:v>
                </c:pt>
                <c:pt idx="108">
                  <c:v>1707.1474968890532</c:v>
                </c:pt>
                <c:pt idx="109">
                  <c:v>1673.5235197903262</c:v>
                </c:pt>
                <c:pt idx="110">
                  <c:v>1691.53230638679</c:v>
                </c:pt>
                <c:pt idx="111">
                  <c:v>1766.1847016645581</c:v>
                </c:pt>
                <c:pt idx="112">
                  <c:v>1827.2099154764719</c:v>
                </c:pt>
                <c:pt idx="113">
                  <c:v>1796.8161057424361</c:v>
                </c:pt>
                <c:pt idx="114">
                  <c:v>1740.9063757961544</c:v>
                </c:pt>
                <c:pt idx="115">
                  <c:v>1766.4820313629757</c:v>
                </c:pt>
                <c:pt idx="116">
                  <c:v>1831.8242017030923</c:v>
                </c:pt>
                <c:pt idx="117">
                  <c:v>1859.2887419592269</c:v>
                </c:pt>
                <c:pt idx="118">
                  <c:v>1781.072183162486</c:v>
                </c:pt>
                <c:pt idx="119">
                  <c:v>1767.6144017465103</c:v>
                </c:pt>
                <c:pt idx="120">
                  <c:v>1662.0860543478418</c:v>
                </c:pt>
                <c:pt idx="121">
                  <c:v>1607.5230933557109</c:v>
                </c:pt>
                <c:pt idx="122">
                  <c:v>1600.3213898974773</c:v>
                </c:pt>
                <c:pt idx="123">
                  <c:v>1677.4168728557884</c:v>
                </c:pt>
                <c:pt idx="124">
                  <c:v>1699.0991633543222</c:v>
                </c:pt>
                <c:pt idx="125">
                  <c:v>1555.7138840580142</c:v>
                </c:pt>
                <c:pt idx="126">
                  <c:v>1544.822331155724</c:v>
                </c:pt>
                <c:pt idx="127">
                  <c:v>1567.8154667326455</c:v>
                </c:pt>
                <c:pt idx="128">
                  <c:v>1430.6394524708728</c:v>
                </c:pt>
                <c:pt idx="129">
                  <c:v>1192.1990668459098</c:v>
                </c:pt>
                <c:pt idx="130">
                  <c:v>1108.258714947423</c:v>
                </c:pt>
                <c:pt idx="131">
                  <c:v>1121.9634422164629</c:v>
                </c:pt>
                <c:pt idx="132">
                  <c:v>1028.925745734105</c:v>
                </c:pt>
                <c:pt idx="133">
                  <c:v>920.58603826277817</c:v>
                </c:pt>
                <c:pt idx="134">
                  <c:v>1000.9964669469172</c:v>
                </c:pt>
                <c:pt idx="135">
                  <c:v>1095.2442882958374</c:v>
                </c:pt>
                <c:pt idx="136">
                  <c:v>1155.6119629781274</c:v>
                </c:pt>
                <c:pt idx="137">
                  <c:v>1158.4143219883492</c:v>
                </c:pt>
                <c:pt idx="138">
                  <c:v>1245.0474954725698</c:v>
                </c:pt>
                <c:pt idx="139">
                  <c:v>1287.7451542823062</c:v>
                </c:pt>
                <c:pt idx="140">
                  <c:v>1333.6738729549388</c:v>
                </c:pt>
                <c:pt idx="141">
                  <c:v>1311.3108294532303</c:v>
                </c:pt>
                <c:pt idx="142">
                  <c:v>1388.9587889084739</c:v>
                </c:pt>
                <c:pt idx="143">
                  <c:v>1416.1907149238134</c:v>
                </c:pt>
                <c:pt idx="144">
                  <c:v>1365.6341225917481</c:v>
                </c:pt>
                <c:pt idx="145">
                  <c:v>1406.203015471581</c:v>
                </c:pt>
                <c:pt idx="146">
                  <c:v>1489.4769518447924</c:v>
                </c:pt>
                <c:pt idx="147">
                  <c:v>1513.2892198739351</c:v>
                </c:pt>
                <c:pt idx="148">
                  <c:v>1392.3516852892697</c:v>
                </c:pt>
                <c:pt idx="149">
                  <c:v>1318.9677897160987</c:v>
                </c:pt>
                <c:pt idx="150">
                  <c:v>1410.8418100765632</c:v>
                </c:pt>
                <c:pt idx="151">
                  <c:v>1347.2847973744242</c:v>
                </c:pt>
                <c:pt idx="152">
                  <c:v>1467.4073626235304</c:v>
                </c:pt>
                <c:pt idx="153">
                  <c:v>1523.0441127774013</c:v>
                </c:pt>
                <c:pt idx="154">
                  <c:v>1522.4120494705987</c:v>
                </c:pt>
                <c:pt idx="155">
                  <c:v>1623.1013375984853</c:v>
                </c:pt>
                <c:pt idx="156">
                  <c:v>1661.2020183972722</c:v>
                </c:pt>
                <c:pt idx="157">
                  <c:v>1718.3540126382122</c:v>
                </c:pt>
                <c:pt idx="158">
                  <c:v>1718.8746739040414</c:v>
                </c:pt>
                <c:pt idx="159">
                  <c:v>1770.5182634814885</c:v>
                </c:pt>
                <c:pt idx="160">
                  <c:v>1750.7539681062447</c:v>
                </c:pt>
                <c:pt idx="161">
                  <c:v>1721.3623104896769</c:v>
                </c:pt>
                <c:pt idx="162">
                  <c:v>1686.7939125704231</c:v>
                </c:pt>
                <c:pt idx="163">
                  <c:v>1594.6123120423622</c:v>
                </c:pt>
                <c:pt idx="164">
                  <c:v>1485.741751049982</c:v>
                </c:pt>
                <c:pt idx="165">
                  <c:v>1647.1794782355707</c:v>
                </c:pt>
                <c:pt idx="166">
                  <c:v>1643.9641838940549</c:v>
                </c:pt>
                <c:pt idx="167">
                  <c:v>1660.4745161929029</c:v>
                </c:pt>
                <c:pt idx="168">
                  <c:v>1733.5121482621641</c:v>
                </c:pt>
                <c:pt idx="169">
                  <c:v>1807.1968156361957</c:v>
                </c:pt>
                <c:pt idx="170">
                  <c:v>1865.4915633181724</c:v>
                </c:pt>
                <c:pt idx="171">
                  <c:v>1853.158798593076</c:v>
                </c:pt>
                <c:pt idx="172">
                  <c:v>1740.8666411923286</c:v>
                </c:pt>
                <c:pt idx="173">
                  <c:v>1812.5920876760938</c:v>
                </c:pt>
                <c:pt idx="174">
                  <c:v>1835.412622059936</c:v>
                </c:pt>
                <c:pt idx="175">
                  <c:v>1876.4891565416374</c:v>
                </c:pt>
                <c:pt idx="176">
                  <c:v>1925.1483968599184</c:v>
                </c:pt>
                <c:pt idx="177">
                  <c:v>1890.478399380868</c:v>
                </c:pt>
                <c:pt idx="178">
                  <c:v>1902.2522988522119</c:v>
                </c:pt>
                <c:pt idx="179">
                  <c:v>1918.5526988010765</c:v>
                </c:pt>
                <c:pt idx="180">
                  <c:v>2017.6977466170197</c:v>
                </c:pt>
                <c:pt idx="181">
                  <c:v>2044.6178699523839</c:v>
                </c:pt>
                <c:pt idx="182">
                  <c:v>2120.8350902905991</c:v>
                </c:pt>
                <c:pt idx="183">
                  <c:v>2160.3780605490674</c:v>
                </c:pt>
                <c:pt idx="184">
                  <c:v>2210.4664258828975</c:v>
                </c:pt>
                <c:pt idx="185">
                  <c:v>2180.6649175291441</c:v>
                </c:pt>
                <c:pt idx="186">
                  <c:v>2291.2202675180365</c:v>
                </c:pt>
                <c:pt idx="187">
                  <c:v>2223.6957150140124</c:v>
                </c:pt>
                <c:pt idx="188">
                  <c:v>2292.5057552194062</c:v>
                </c:pt>
                <c:pt idx="189">
                  <c:v>2396.8010120473577</c:v>
                </c:pt>
                <c:pt idx="190">
                  <c:v>2469.7140956348503</c:v>
                </c:pt>
                <c:pt idx="191">
                  <c:v>2532.4374245216882</c:v>
                </c:pt>
                <c:pt idx="192">
                  <c:v>2440.9531225608421</c:v>
                </c:pt>
                <c:pt idx="193">
                  <c:v>2551.4135742160879</c:v>
                </c:pt>
                <c:pt idx="194">
                  <c:v>2573.2893942014171</c:v>
                </c:pt>
                <c:pt idx="195">
                  <c:v>2592.3394555866903</c:v>
                </c:pt>
                <c:pt idx="196">
                  <c:v>2651.5355270550122</c:v>
                </c:pt>
                <c:pt idx="197">
                  <c:v>2704.3885847157999</c:v>
                </c:pt>
                <c:pt idx="198">
                  <c:v>2667.5007244202766</c:v>
                </c:pt>
                <c:pt idx="199">
                  <c:v>2774.0647108601424</c:v>
                </c:pt>
                <c:pt idx="200">
                  <c:v>2733.8158059702728</c:v>
                </c:pt>
                <c:pt idx="201">
                  <c:v>2801.029401375858</c:v>
                </c:pt>
                <c:pt idx="202">
                  <c:v>2876.8644713887079</c:v>
                </c:pt>
                <c:pt idx="203">
                  <c:v>2868.849526971419</c:v>
                </c:pt>
                <c:pt idx="204">
                  <c:v>2783.0881392121355</c:v>
                </c:pt>
                <c:pt idx="205">
                  <c:v>2942.8540969317473</c:v>
                </c:pt>
                <c:pt idx="206">
                  <c:v>2893.8673476342215</c:v>
                </c:pt>
                <c:pt idx="207">
                  <c:v>2922.3487900696373</c:v>
                </c:pt>
                <c:pt idx="208">
                  <c:v>2960.5526558022175</c:v>
                </c:pt>
                <c:pt idx="209">
                  <c:v>2902.1202280346492</c:v>
                </c:pt>
                <c:pt idx="210">
                  <c:v>2961.4192506540812</c:v>
                </c:pt>
                <c:pt idx="211">
                  <c:v>2782.129006380982</c:v>
                </c:pt>
                <c:pt idx="212">
                  <c:v>2712.7287983168085</c:v>
                </c:pt>
                <c:pt idx="213">
                  <c:v>2941.3006141341848</c:v>
                </c:pt>
                <c:pt idx="214">
                  <c:v>2948.9421131297058</c:v>
                </c:pt>
                <c:pt idx="215">
                  <c:v>2899.5060475451996</c:v>
                </c:pt>
                <c:pt idx="216">
                  <c:v>2756.624188534267</c:v>
                </c:pt>
                <c:pt idx="217">
                  <c:v>2754.4602385462676</c:v>
                </c:pt>
                <c:pt idx="218">
                  <c:v>2939.4139801839342</c:v>
                </c:pt>
                <c:pt idx="219">
                  <c:v>2951.0158471637201</c:v>
                </c:pt>
                <c:pt idx="220">
                  <c:v>3001.0444188206866</c:v>
                </c:pt>
                <c:pt idx="221">
                  <c:v>3008.0698638051458</c:v>
                </c:pt>
                <c:pt idx="222">
                  <c:v>3117.3229612585483</c:v>
                </c:pt>
                <c:pt idx="223">
                  <c:v>3121.6934480502323</c:v>
                </c:pt>
                <c:pt idx="224">
                  <c:v>3119.2741356279935</c:v>
                </c:pt>
                <c:pt idx="225">
                  <c:v>3064.2938097134142</c:v>
                </c:pt>
                <c:pt idx="226">
                  <c:v>3183.0750306593354</c:v>
                </c:pt>
                <c:pt idx="227">
                  <c:v>3231.95433083014</c:v>
                </c:pt>
                <c:pt idx="228">
                  <c:v>3287.4986979597866</c:v>
                </c:pt>
                <c:pt idx="229">
                  <c:v>3418.5844210422351</c:v>
                </c:pt>
                <c:pt idx="230">
                  <c:v>3420.9774301369644</c:v>
                </c:pt>
                <c:pt idx="231">
                  <c:v>3455.1803624834733</c:v>
                </c:pt>
                <c:pt idx="232">
                  <c:v>3502.7651064355955</c:v>
                </c:pt>
                <c:pt idx="233">
                  <c:v>3523.9848574503822</c:v>
                </c:pt>
                <c:pt idx="234">
                  <c:v>3594.1650158865064</c:v>
                </c:pt>
                <c:pt idx="235">
                  <c:v>3603.1252692711118</c:v>
                </c:pt>
                <c:pt idx="236">
                  <c:v>3677.9946092412965</c:v>
                </c:pt>
                <c:pt idx="237">
                  <c:v>3764.9755037552441</c:v>
                </c:pt>
                <c:pt idx="238">
                  <c:v>3883.5722321235344</c:v>
                </c:pt>
                <c:pt idx="239">
                  <c:v>3928.0624356147414</c:v>
                </c:pt>
                <c:pt idx="240">
                  <c:v>4154.1813497209041</c:v>
                </c:pt>
                <c:pt idx="241">
                  <c:v>4002.1632374092173</c:v>
                </c:pt>
                <c:pt idx="242">
                  <c:v>3896.6662144711104</c:v>
                </c:pt>
                <c:pt idx="243">
                  <c:v>3908.9329197142652</c:v>
                </c:pt>
                <c:pt idx="244">
                  <c:v>4001.6918978990848</c:v>
                </c:pt>
                <c:pt idx="245">
                  <c:v>4022.1365418054515</c:v>
                </c:pt>
                <c:pt idx="246">
                  <c:v>4175.2351471327347</c:v>
                </c:pt>
                <c:pt idx="247">
                  <c:v>4310.6380229542492</c:v>
                </c:pt>
                <c:pt idx="248">
                  <c:v>4334.6396554660587</c:v>
                </c:pt>
                <c:pt idx="249">
                  <c:v>4038.0939527166588</c:v>
                </c:pt>
                <c:pt idx="250">
                  <c:v>4084.4270427301299</c:v>
                </c:pt>
                <c:pt idx="251">
                  <c:v>3715.0273765585744</c:v>
                </c:pt>
                <c:pt idx="252">
                  <c:v>4009.7479283957191</c:v>
                </c:pt>
                <c:pt idx="253">
                  <c:v>4137.7190335304686</c:v>
                </c:pt>
                <c:pt idx="254">
                  <c:v>4214.6019908924982</c:v>
                </c:pt>
                <c:pt idx="255">
                  <c:v>4386.8317012503194</c:v>
                </c:pt>
                <c:pt idx="256">
                  <c:v>4104.7145545429112</c:v>
                </c:pt>
                <c:pt idx="257">
                  <c:v>4393.3703961620322</c:v>
                </c:pt>
                <c:pt idx="258">
                  <c:v>4454.3767374831386</c:v>
                </c:pt>
                <c:pt idx="259">
                  <c:v>4380.073279125183</c:v>
                </c:pt>
                <c:pt idx="260">
                  <c:v>4461.4024797719794</c:v>
                </c:pt>
                <c:pt idx="261">
                  <c:v>4558.1346083383951</c:v>
                </c:pt>
                <c:pt idx="262">
                  <c:v>4723.2667089292781</c:v>
                </c:pt>
                <c:pt idx="263">
                  <c:v>4862.7447748439599</c:v>
                </c:pt>
                <c:pt idx="264">
                  <c:v>4857.6486183199231</c:v>
                </c:pt>
                <c:pt idx="265">
                  <c:v>4455.8190669638807</c:v>
                </c:pt>
                <c:pt idx="266">
                  <c:v>3902.4330737613682</c:v>
                </c:pt>
                <c:pt idx="267">
                  <c:v>4401.7610928483564</c:v>
                </c:pt>
                <c:pt idx="268">
                  <c:v>4610.0260171953842</c:v>
                </c:pt>
                <c:pt idx="269">
                  <c:v>4700.7513292137892</c:v>
                </c:pt>
                <c:pt idx="270">
                  <c:v>4963.3305977123428</c:v>
                </c:pt>
                <c:pt idx="271">
                  <c:v>5319.1368782705476</c:v>
                </c:pt>
                <c:pt idx="272">
                  <c:v>5111.2969238890037</c:v>
                </c:pt>
                <c:pt idx="273">
                  <c:v>4957.3446605414665</c:v>
                </c:pt>
                <c:pt idx="274">
                  <c:v>5499.4600432396392</c:v>
                </c:pt>
                <c:pt idx="275">
                  <c:v>5709.6769033924738</c:v>
                </c:pt>
                <c:pt idx="276">
                  <c:v>5648.8402959868272</c:v>
                </c:pt>
                <c:pt idx="277">
                  <c:v>5801.8617307648137</c:v>
                </c:pt>
                <c:pt idx="278">
                  <c:v>6054.190499297506</c:v>
                </c:pt>
                <c:pt idx="279">
                  <c:v>6376.7214439570816</c:v>
                </c:pt>
                <c:pt idx="280">
                  <c:v>6419.2350458239434</c:v>
                </c:pt>
                <c:pt idx="281">
                  <c:v>6565.6770549243247</c:v>
                </c:pt>
                <c:pt idx="282">
                  <c:v>6717.613387652329</c:v>
                </c:pt>
                <c:pt idx="283">
                  <c:v>6917.7243728571048</c:v>
                </c:pt>
                <c:pt idx="284">
                  <c:v>6592.6397514034315</c:v>
                </c:pt>
                <c:pt idx="285">
                  <c:v>7051.4677001818554</c:v>
                </c:pt>
                <c:pt idx="286">
                  <c:v>7000.2387873400348</c:v>
                </c:pt>
                <c:pt idx="287">
                  <c:v>7314.3255012504069</c:v>
                </c:pt>
                <c:pt idx="288">
                  <c:v>6935.2093818695957</c:v>
                </c:pt>
                <c:pt idx="289">
                  <c:v>6726.6468301286313</c:v>
                </c:pt>
                <c:pt idx="290">
                  <c:v>6971.4362349238427</c:v>
                </c:pt>
                <c:pt idx="291">
                  <c:v>6361.5680216564697</c:v>
                </c:pt>
                <c:pt idx="292">
                  <c:v>6369.3863887550851</c:v>
                </c:pt>
                <c:pt idx="293">
                  <c:v>5845.6253766213658</c:v>
                </c:pt>
                <c:pt idx="294">
                  <c:v>6382.0374980562729</c:v>
                </c:pt>
                <c:pt idx="295">
                  <c:v>6119.2251938863155</c:v>
                </c:pt>
                <c:pt idx="296">
                  <c:v>5554.3717546890575</c:v>
                </c:pt>
                <c:pt idx="297">
                  <c:v>6005.2589906194517</c:v>
                </c:pt>
                <c:pt idx="298">
                  <c:v>6340.9289471591164</c:v>
                </c:pt>
                <c:pt idx="299">
                  <c:v>5975.8880086001136</c:v>
                </c:pt>
                <c:pt idx="300">
                  <c:v>6350.9108364678223</c:v>
                </c:pt>
                <c:pt idx="301">
                  <c:v>6192.5191202063152</c:v>
                </c:pt>
                <c:pt idx="302">
                  <c:v>6417.208483963881</c:v>
                </c:pt>
                <c:pt idx="303">
                  <c:v>6513.6013726015026</c:v>
                </c:pt>
                <c:pt idx="304">
                  <c:v>6537.1871231716932</c:v>
                </c:pt>
                <c:pt idx="305">
                  <c:v>6966.4384412405161</c:v>
                </c:pt>
                <c:pt idx="306">
                  <c:v>7187.6437610652256</c:v>
                </c:pt>
                <c:pt idx="307">
                  <c:v>7070.3557901721624</c:v>
                </c:pt>
                <c:pt idx="308">
                  <c:v>6732.9725525767271</c:v>
                </c:pt>
                <c:pt idx="309">
                  <c:v>6591.5868619451685</c:v>
                </c:pt>
                <c:pt idx="310">
                  <c:v>7190.8675730857758</c:v>
                </c:pt>
                <c:pt idx="311">
                  <c:v>7514.0323526878228</c:v>
                </c:pt>
                <c:pt idx="312">
                  <c:v>7637.3977358542516</c:v>
                </c:pt>
                <c:pt idx="313">
                  <c:v>8043.0504791964149</c:v>
                </c:pt>
                <c:pt idx="314">
                  <c:v>8300.548740287888</c:v>
                </c:pt>
                <c:pt idx="315">
                  <c:v>7958.4997277981047</c:v>
                </c:pt>
                <c:pt idx="316">
                  <c:v>8348.4582559604842</c:v>
                </c:pt>
                <c:pt idx="317">
                  <c:v>8642.3740773198297</c:v>
                </c:pt>
                <c:pt idx="318">
                  <c:v>8746.2294866069824</c:v>
                </c:pt>
                <c:pt idx="319">
                  <c:v>8953.9436906844112</c:v>
                </c:pt>
                <c:pt idx="320">
                  <c:v>9141.5646267790107</c:v>
                </c:pt>
                <c:pt idx="321">
                  <c:v>9054.2535430286443</c:v>
                </c:pt>
                <c:pt idx="322">
                  <c:v>9583.7553444785026</c:v>
                </c:pt>
                <c:pt idx="323">
                  <c:v>9350.6304957240627</c:v>
                </c:pt>
              </c:numCache>
            </c:numRef>
          </c:val>
          <c:smooth val="0"/>
          <c:extLst>
            <c:ext xmlns:c16="http://schemas.microsoft.com/office/drawing/2014/chart" uri="{C3380CC4-5D6E-409C-BE32-E72D297353CC}">
              <c16:uniqueId val="{00000002-CEB7-4C68-AA6C-AE0E49BBD883}"/>
            </c:ext>
          </c:extLst>
        </c:ser>
        <c:dLbls>
          <c:showLegendKey val="0"/>
          <c:showVal val="0"/>
          <c:showCatName val="0"/>
          <c:showSerName val="0"/>
          <c:showPercent val="0"/>
          <c:showBubbleSize val="0"/>
        </c:dLbls>
        <c:smooth val="0"/>
        <c:axId val="101784592"/>
        <c:axId val="101781712"/>
      </c:lineChart>
      <c:dateAx>
        <c:axId val="10178459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81712"/>
        <c:crosses val="autoZero"/>
        <c:auto val="1"/>
        <c:lblOffset val="100"/>
        <c:baseTimeUnit val="months"/>
      </c:dateAx>
      <c:valAx>
        <c:axId val="10178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0178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r>
              <a:rPr lang="en-US">
                <a:latin typeface="Calisto MT" panose="02040603050505030304" pitchFamily="18" charset="0"/>
              </a:rPr>
              <a:t>Alphas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lotArea>
      <c:layout>
        <c:manualLayout>
          <c:layoutTarget val="inner"/>
          <c:xMode val="edge"/>
          <c:yMode val="edge"/>
          <c:x val="6.9590332458442691E-2"/>
          <c:y val="0.16277777777777774"/>
          <c:w val="0.8644722222222222"/>
          <c:h val="0.52735600758238554"/>
        </c:manualLayout>
      </c:layout>
      <c:barChart>
        <c:barDir val="bar"/>
        <c:grouping val="clustered"/>
        <c:varyColors val="0"/>
        <c:ser>
          <c:idx val="0"/>
          <c:order val="0"/>
          <c:tx>
            <c:strRef>
              <c:f>'Alphas+Ratios'!$J$1</c:f>
              <c:strCache>
                <c:ptCount val="1"/>
                <c:pt idx="0">
                  <c:v>Alpha (1-Factor)</c:v>
                </c:pt>
              </c:strCache>
            </c:strRef>
          </c:tx>
          <c:spPr>
            <a:solidFill>
              <a:schemeClr val="accent1"/>
            </a:solidFill>
            <a:ln>
              <a:noFill/>
            </a:ln>
            <a:effectLst/>
          </c:spPr>
          <c:invertIfNegative val="0"/>
          <c:cat>
            <c:strRef>
              <c:f>'Alphas+Ratios'!$I$2:$I$10</c:f>
              <c:strCache>
                <c:ptCount val="9"/>
                <c:pt idx="0">
                  <c:v>FGINX 1998-2013</c:v>
                </c:pt>
                <c:pt idx="1">
                  <c:v>PGWCX 1998-2013</c:v>
                </c:pt>
                <c:pt idx="2">
                  <c:v>SPFIX 1998-2013</c:v>
                </c:pt>
                <c:pt idx="3">
                  <c:v>FGINX 1998-2006</c:v>
                </c:pt>
                <c:pt idx="4">
                  <c:v>PGWCX 1998-2006</c:v>
                </c:pt>
                <c:pt idx="5">
                  <c:v>SPFIX 1998-2006</c:v>
                </c:pt>
                <c:pt idx="6">
                  <c:v>FGINX 2007-2013</c:v>
                </c:pt>
                <c:pt idx="7">
                  <c:v>PGWCX 2007-2013 </c:v>
                </c:pt>
                <c:pt idx="8">
                  <c:v>SPFIX 2007-2013</c:v>
                </c:pt>
              </c:strCache>
            </c:strRef>
          </c:cat>
          <c:val>
            <c:numRef>
              <c:f>'Alphas+Ratios'!$J$2:$J$10</c:f>
              <c:numCache>
                <c:formatCode>0.0000</c:formatCode>
                <c:ptCount val="9"/>
                <c:pt idx="0">
                  <c:v>-1.3491384036628563E-3</c:v>
                </c:pt>
                <c:pt idx="1">
                  <c:v>-1.2038551654677369E-2</c:v>
                </c:pt>
                <c:pt idx="2">
                  <c:v>-4.0047660971744836E-3</c:v>
                </c:pt>
                <c:pt idx="3">
                  <c:v>-8.7326499479351352E-4</c:v>
                </c:pt>
                <c:pt idx="4">
                  <c:v>-3.0007210414504628E-2</c:v>
                </c:pt>
                <c:pt idx="5">
                  <c:v>-2.0355384571191775E-3</c:v>
                </c:pt>
                <c:pt idx="6">
                  <c:v>-3.9563503406965343E-3</c:v>
                </c:pt>
                <c:pt idx="7">
                  <c:v>1.4126598678176398E-2</c:v>
                </c:pt>
                <c:pt idx="8">
                  <c:v>-7.1194599228119604E-3</c:v>
                </c:pt>
              </c:numCache>
            </c:numRef>
          </c:val>
          <c:extLst>
            <c:ext xmlns:c16="http://schemas.microsoft.com/office/drawing/2014/chart" uri="{C3380CC4-5D6E-409C-BE32-E72D297353CC}">
              <c16:uniqueId val="{00000000-4A60-46A9-9DE6-D55AF1E05A84}"/>
            </c:ext>
          </c:extLst>
        </c:ser>
        <c:ser>
          <c:idx val="1"/>
          <c:order val="1"/>
          <c:tx>
            <c:strRef>
              <c:f>'Alphas+Ratios'!$K$1</c:f>
              <c:strCache>
                <c:ptCount val="1"/>
                <c:pt idx="0">
                  <c:v>Alpha (3-Factor)</c:v>
                </c:pt>
              </c:strCache>
            </c:strRef>
          </c:tx>
          <c:spPr>
            <a:solidFill>
              <a:schemeClr val="accent3"/>
            </a:solidFill>
            <a:ln>
              <a:noFill/>
            </a:ln>
            <a:effectLst/>
          </c:spPr>
          <c:invertIfNegative val="0"/>
          <c:cat>
            <c:strRef>
              <c:f>'Alphas+Ratios'!$I$2:$I$10</c:f>
              <c:strCache>
                <c:ptCount val="9"/>
                <c:pt idx="0">
                  <c:v>FGINX 1998-2013</c:v>
                </c:pt>
                <c:pt idx="1">
                  <c:v>PGWCX 1998-2013</c:v>
                </c:pt>
                <c:pt idx="2">
                  <c:v>SPFIX 1998-2013</c:v>
                </c:pt>
                <c:pt idx="3">
                  <c:v>FGINX 1998-2006</c:v>
                </c:pt>
                <c:pt idx="4">
                  <c:v>PGWCX 1998-2006</c:v>
                </c:pt>
                <c:pt idx="5">
                  <c:v>SPFIX 1998-2006</c:v>
                </c:pt>
                <c:pt idx="6">
                  <c:v>FGINX 2007-2013</c:v>
                </c:pt>
                <c:pt idx="7">
                  <c:v>PGWCX 2007-2013 </c:v>
                </c:pt>
                <c:pt idx="8">
                  <c:v>SPFIX 2007-2013</c:v>
                </c:pt>
              </c:strCache>
            </c:strRef>
          </c:cat>
          <c:val>
            <c:numRef>
              <c:f>'Alphas+Ratios'!$K$2:$K$10</c:f>
              <c:numCache>
                <c:formatCode>0.0000</c:formatCode>
                <c:ptCount val="9"/>
                <c:pt idx="0">
                  <c:v>-5.8035133340454959E-3</c:v>
                </c:pt>
                <c:pt idx="1">
                  <c:v>-7.2693555928314167E-4</c:v>
                </c:pt>
                <c:pt idx="2">
                  <c:v>-1.146609106637777E-3</c:v>
                </c:pt>
                <c:pt idx="3">
                  <c:v>-1.2877554746822548E-2</c:v>
                </c:pt>
                <c:pt idx="4">
                  <c:v>-4.705912423253287E-3</c:v>
                </c:pt>
                <c:pt idx="5">
                  <c:v>2.9235218547079395E-4</c:v>
                </c:pt>
                <c:pt idx="6">
                  <c:v>-6.6587541305239582E-3</c:v>
                </c:pt>
                <c:pt idx="7">
                  <c:v>-1.5032619051922932E-3</c:v>
                </c:pt>
                <c:pt idx="8">
                  <c:v>-4.4627240100289286E-3</c:v>
                </c:pt>
              </c:numCache>
            </c:numRef>
          </c:val>
          <c:extLst>
            <c:ext xmlns:c16="http://schemas.microsoft.com/office/drawing/2014/chart" uri="{C3380CC4-5D6E-409C-BE32-E72D297353CC}">
              <c16:uniqueId val="{00000001-4A60-46A9-9DE6-D55AF1E05A84}"/>
            </c:ext>
          </c:extLst>
        </c:ser>
        <c:ser>
          <c:idx val="2"/>
          <c:order val="2"/>
          <c:tx>
            <c:strRef>
              <c:f>'Alphas+Ratios'!$L$1</c:f>
              <c:strCache>
                <c:ptCount val="1"/>
                <c:pt idx="0">
                  <c:v>Alpha (4-Factor)</c:v>
                </c:pt>
              </c:strCache>
            </c:strRef>
          </c:tx>
          <c:spPr>
            <a:solidFill>
              <a:schemeClr val="accent5"/>
            </a:solidFill>
            <a:ln>
              <a:noFill/>
            </a:ln>
            <a:effectLst/>
          </c:spPr>
          <c:invertIfNegative val="0"/>
          <c:cat>
            <c:strRef>
              <c:f>'Alphas+Ratios'!$I$2:$I$10</c:f>
              <c:strCache>
                <c:ptCount val="9"/>
                <c:pt idx="0">
                  <c:v>FGINX 1998-2013</c:v>
                </c:pt>
                <c:pt idx="1">
                  <c:v>PGWCX 1998-2013</c:v>
                </c:pt>
                <c:pt idx="2">
                  <c:v>SPFIX 1998-2013</c:v>
                </c:pt>
                <c:pt idx="3">
                  <c:v>FGINX 1998-2006</c:v>
                </c:pt>
                <c:pt idx="4">
                  <c:v>PGWCX 1998-2006</c:v>
                </c:pt>
                <c:pt idx="5">
                  <c:v>SPFIX 1998-2006</c:v>
                </c:pt>
                <c:pt idx="6">
                  <c:v>FGINX 2007-2013</c:v>
                </c:pt>
                <c:pt idx="7">
                  <c:v>PGWCX 2007-2013 </c:v>
                </c:pt>
                <c:pt idx="8">
                  <c:v>SPFIX 2007-2013</c:v>
                </c:pt>
              </c:strCache>
            </c:strRef>
          </c:cat>
          <c:val>
            <c:numRef>
              <c:f>'Alphas+Ratios'!$L$2:$L$10</c:f>
              <c:numCache>
                <c:formatCode>0.0000</c:formatCode>
                <c:ptCount val="9"/>
                <c:pt idx="0">
                  <c:v>-9.0707638986264449E-3</c:v>
                </c:pt>
                <c:pt idx="1">
                  <c:v>-1.3469138219158034E-2</c:v>
                </c:pt>
                <c:pt idx="2">
                  <c:v>5.2008424949697286E-4</c:v>
                </c:pt>
                <c:pt idx="3">
                  <c:v>-2.1061670794083928E-2</c:v>
                </c:pt>
                <c:pt idx="4">
                  <c:v>-3.3785495195497048E-2</c:v>
                </c:pt>
                <c:pt idx="5">
                  <c:v>4.5712071087256967E-3</c:v>
                </c:pt>
                <c:pt idx="6">
                  <c:v>-6.7124527154093123E-3</c:v>
                </c:pt>
                <c:pt idx="7">
                  <c:v>-1.4263140285599375E-3</c:v>
                </c:pt>
                <c:pt idx="8">
                  <c:v>-4.4595080868103472E-3</c:v>
                </c:pt>
              </c:numCache>
            </c:numRef>
          </c:val>
          <c:extLst>
            <c:ext xmlns:c16="http://schemas.microsoft.com/office/drawing/2014/chart" uri="{C3380CC4-5D6E-409C-BE32-E72D297353CC}">
              <c16:uniqueId val="{00000002-4A60-46A9-9DE6-D55AF1E05A84}"/>
            </c:ext>
          </c:extLst>
        </c:ser>
        <c:dLbls>
          <c:showLegendKey val="0"/>
          <c:showVal val="0"/>
          <c:showCatName val="0"/>
          <c:showSerName val="0"/>
          <c:showPercent val="0"/>
          <c:showBubbleSize val="0"/>
        </c:dLbls>
        <c:gapWidth val="75"/>
        <c:overlap val="-25"/>
        <c:axId val="1037718096"/>
        <c:axId val="1037722416"/>
      </c:barChart>
      <c:catAx>
        <c:axId val="103771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037722416"/>
        <c:crosses val="autoZero"/>
        <c:auto val="1"/>
        <c:lblAlgn val="ctr"/>
        <c:lblOffset val="50"/>
        <c:noMultiLvlLbl val="0"/>
      </c:catAx>
      <c:valAx>
        <c:axId val="103772241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037718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r>
              <a:rPr lang="en-US">
                <a:latin typeface="Calisto MT" panose="02040603050505030304" pitchFamily="18" charset="0"/>
              </a:rPr>
              <a:t>FGINX</a:t>
            </a:r>
          </a:p>
        </c:rich>
      </c:tx>
      <c:layout>
        <c:manualLayout>
          <c:xMode val="edge"/>
          <c:yMode val="edge"/>
          <c:x val="0.63752212389380547"/>
          <c:y val="1.21212121212121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lotArea>
      <c:layout>
        <c:manualLayout>
          <c:layoutTarget val="inner"/>
          <c:xMode val="edge"/>
          <c:yMode val="edge"/>
          <c:x val="0.24635099857800796"/>
          <c:y val="0.20429002624671916"/>
          <c:w val="0.52167356438935697"/>
          <c:h val="0.60481528871391077"/>
        </c:manualLayout>
      </c:layout>
      <c:pieChart>
        <c:varyColors val="1"/>
        <c:ser>
          <c:idx val="0"/>
          <c:order val="0"/>
          <c:tx>
            <c:strRef>
              <c:f>'MF Stocks'!$J$1</c:f>
              <c:strCache>
                <c:ptCount val="1"/>
                <c:pt idx="0">
                  <c:v>Total Size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C62D-4758-8297-D9CF10BCD70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62D-4758-8297-D9CF10BCD706}"/>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2-C62D-4758-8297-D9CF10BCD706}"/>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1-C62D-4758-8297-D9CF10BCD706}"/>
              </c:ext>
            </c:extLst>
          </c:dPt>
          <c:dLbls>
            <c:dLbl>
              <c:idx val="0"/>
              <c:layout>
                <c:manualLayout>
                  <c:x val="2.8070998167482587E-2"/>
                  <c:y val="-2.7556758530183727E-2"/>
                </c:manualLayout>
              </c:layout>
              <c:tx>
                <c:rich>
                  <a:bodyPr/>
                  <a:lstStyle/>
                  <a:p>
                    <a:fld id="{EC7F74F5-7EF0-4573-8C76-0B167D88C1E4}" type="CATEGORYNAME">
                      <a:rPr lang="en-US"/>
                      <a:pPr/>
                      <a:t>[CATEGORY NAME]</a:t>
                    </a:fld>
                    <a:r>
                      <a:rPr lang="en-US" baseline="0"/>
                      <a:t>, </a:t>
                    </a:r>
                    <a:fld id="{9617FC5B-3C2F-44CA-99A5-F5072716267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62D-4758-8297-D9CF10BCD706}"/>
                </c:ext>
              </c:extLst>
            </c:dLbl>
            <c:dLbl>
              <c:idx val="1"/>
              <c:layout>
                <c:manualLayout>
                  <c:x val="-4.1830302185678118E-2"/>
                  <c:y val="7.1613934621808636E-2"/>
                </c:manualLayout>
              </c:layout>
              <c:tx>
                <c:rich>
                  <a:bodyPr/>
                  <a:lstStyle/>
                  <a:p>
                    <a:fld id="{BA0341E6-2AF3-4CB0-9A57-5FB4F66AF7C0}" type="CATEGORYNAME">
                      <a:rPr lang="en-US"/>
                      <a:pPr/>
                      <a:t>[CATEGORY NAME]</a:t>
                    </a:fld>
                    <a:r>
                      <a:rPr lang="en-US" baseline="0"/>
                      <a:t>,, </a:t>
                    </a:r>
                    <a:fld id="{A2B9182A-BA3D-4F99-AD53-03DE4B04FDEB}"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62D-4758-8297-D9CF10BCD706}"/>
                </c:ext>
              </c:extLst>
            </c:dLbl>
            <c:dLbl>
              <c:idx val="2"/>
              <c:layout>
                <c:manualLayout>
                  <c:x val="-0.14831208045896918"/>
                  <c:y val="0.23137675972321642"/>
                </c:manualLayout>
              </c:layout>
              <c:tx>
                <c:rich>
                  <a:bodyPr/>
                  <a:lstStyle/>
                  <a:p>
                    <a:fld id="{A3D94332-9897-4CF2-A536-D089DF3963CC}" type="CATEGORYNAME">
                      <a:rPr lang="en-US"/>
                      <a:pPr/>
                      <a:t>[CATEGORY NAME]</a:t>
                    </a:fld>
                    <a:r>
                      <a:rPr lang="en-US" baseline="0"/>
                      <a:t>, </a:t>
                    </a:r>
                    <a:fld id="{2D90423B-625D-4353-B6FD-D5755850853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62D-4758-8297-D9CF10BCD706}"/>
                </c:ext>
              </c:extLst>
            </c:dLbl>
            <c:dLbl>
              <c:idx val="3"/>
              <c:layout>
                <c:manualLayout>
                  <c:x val="-0.14436730619940116"/>
                  <c:y val="9.8753280839895008E-5"/>
                </c:manualLayout>
              </c:layout>
              <c:tx>
                <c:rich>
                  <a:bodyPr/>
                  <a:lstStyle/>
                  <a:p>
                    <a:fld id="{AF079A46-138B-49BB-BD31-3D969154D107}" type="CATEGORYNAME">
                      <a:rPr lang="en-US"/>
                      <a:pPr/>
                      <a:t>[CATEGORY NAME]</a:t>
                    </a:fld>
                    <a:r>
                      <a:rPr lang="en-US" baseline="0"/>
                      <a:t>, </a:t>
                    </a:r>
                    <a:fld id="{9278FC19-0E13-47CD-877D-3D7439FEFB16}"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62D-4758-8297-D9CF10BCD7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'MF Stocks'!$I$2:$I$5</c:f>
              <c:strCache>
                <c:ptCount val="4"/>
                <c:pt idx="0">
                  <c:v>Big Growth</c:v>
                </c:pt>
                <c:pt idx="1">
                  <c:v>Big Value</c:v>
                </c:pt>
                <c:pt idx="2">
                  <c:v>Small Growth</c:v>
                </c:pt>
                <c:pt idx="3">
                  <c:v>Small Value</c:v>
                </c:pt>
              </c:strCache>
            </c:strRef>
          </c:cat>
          <c:val>
            <c:numRef>
              <c:f>'MF Stocks'!$J$2:$J$5</c:f>
              <c:numCache>
                <c:formatCode>General</c:formatCode>
                <c:ptCount val="4"/>
                <c:pt idx="0">
                  <c:v>1999565154.5322499</c:v>
                </c:pt>
                <c:pt idx="1">
                  <c:v>1008112904.0799999</c:v>
                </c:pt>
                <c:pt idx="2">
                  <c:v>302175653.1318</c:v>
                </c:pt>
                <c:pt idx="3">
                  <c:v>209818712.83936</c:v>
                </c:pt>
              </c:numCache>
            </c:numRef>
          </c:val>
          <c:extLst>
            <c:ext xmlns:c16="http://schemas.microsoft.com/office/drawing/2014/chart" uri="{C3380CC4-5D6E-409C-BE32-E72D297353CC}">
              <c16:uniqueId val="{00000000-C62D-4758-8297-D9CF10BCD70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r>
              <a:rPr lang="en-US">
                <a:latin typeface="Calisto MT" panose="02040603050505030304" pitchFamily="18" charset="0"/>
              </a:rPr>
              <a:t>PGWCX</a:t>
            </a:r>
          </a:p>
        </c:rich>
      </c:tx>
      <c:layout>
        <c:manualLayout>
          <c:xMode val="edge"/>
          <c:yMode val="edge"/>
          <c:x val="0.76075880758807579"/>
          <c:y val="1.6666666666666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lotArea>
      <c:layout/>
      <c:pieChart>
        <c:varyColors val="1"/>
        <c:ser>
          <c:idx val="0"/>
          <c:order val="0"/>
          <c:tx>
            <c:strRef>
              <c:f>'MF Stocks'!$J$8</c:f>
              <c:strCache>
                <c:ptCount val="1"/>
                <c:pt idx="0">
                  <c:v>Total Size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4ADB-4A2C-A980-6DD83A4BB4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DB-4A2C-A980-6DD83A4BB4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4ADB-4A2C-A980-6DD83A4BB4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4ADB-4A2C-A980-6DD83A4BB4EA}"/>
              </c:ext>
            </c:extLst>
          </c:dPt>
          <c:dLbls>
            <c:dLbl>
              <c:idx val="0"/>
              <c:layout>
                <c:manualLayout>
                  <c:x val="-0.38325331284808911"/>
                  <c:y val="-0.11788681102362204"/>
                </c:manualLayout>
              </c:layout>
              <c:tx>
                <c:rich>
                  <a:bodyPr/>
                  <a:lstStyle/>
                  <a:p>
                    <a:fld id="{CBB7541D-5373-41FA-B5F5-693D6E322BEA}" type="CATEGORYNAME">
                      <a:rPr lang="en-US"/>
                      <a:pPr/>
                      <a:t>[CATEGORY NAME]</a:t>
                    </a:fld>
                    <a:r>
                      <a:rPr lang="en-US" baseline="0"/>
                      <a:t>, </a:t>
                    </a:r>
                    <a:fld id="{55DA70D5-69BB-448B-B9A2-D530E40B2E30}"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ADB-4A2C-A980-6DD83A4BB4EA}"/>
                </c:ext>
              </c:extLst>
            </c:dLbl>
            <c:dLbl>
              <c:idx val="1"/>
              <c:delete val="1"/>
              <c:extLst>
                <c:ext xmlns:c15="http://schemas.microsoft.com/office/drawing/2012/chart" uri="{CE6537A1-D6FC-4f65-9D91-7224C49458BB}"/>
                <c:ext xmlns:c16="http://schemas.microsoft.com/office/drawing/2014/chart" uri="{C3380CC4-5D6E-409C-BE32-E72D297353CC}">
                  <c16:uniqueId val="{00000003-4ADB-4A2C-A980-6DD83A4BB4EA}"/>
                </c:ext>
              </c:extLst>
            </c:dLbl>
            <c:dLbl>
              <c:idx val="2"/>
              <c:layout>
                <c:manualLayout>
                  <c:x val="-0.15862549701612502"/>
                  <c:y val="-4.4591207349081383E-2"/>
                </c:manualLayout>
              </c:layout>
              <c:tx>
                <c:rich>
                  <a:bodyPr/>
                  <a:lstStyle/>
                  <a:p>
                    <a:fld id="{256FC9D5-608B-456E-9DEF-78F0F74754D1}" type="CATEGORYNAME">
                      <a:rPr lang="en-US"/>
                      <a:pPr/>
                      <a:t>[CATEGORY NAME]</a:t>
                    </a:fld>
                    <a:r>
                      <a:rPr lang="en-US" baseline="0"/>
                      <a:t>, </a:t>
                    </a:r>
                    <a:fld id="{75B5456D-0C7F-4138-8E38-5BC759DD30A0}"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ADB-4A2C-A980-6DD83A4BB4EA}"/>
                </c:ext>
              </c:extLst>
            </c:dLbl>
            <c:dLbl>
              <c:idx val="3"/>
              <c:delete val="1"/>
              <c:extLst>
                <c:ext xmlns:c15="http://schemas.microsoft.com/office/drawing/2012/chart" uri="{CE6537A1-D6FC-4f65-9D91-7224C49458BB}"/>
                <c:ext xmlns:c16="http://schemas.microsoft.com/office/drawing/2014/chart" uri="{C3380CC4-5D6E-409C-BE32-E72D297353CC}">
                  <c16:uniqueId val="{00000001-4ADB-4A2C-A980-6DD83A4BB4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'MF Stocks'!$I$9:$I$12</c:f>
              <c:strCache>
                <c:ptCount val="4"/>
                <c:pt idx="0">
                  <c:v>Big Growth</c:v>
                </c:pt>
                <c:pt idx="1">
                  <c:v>Big Value</c:v>
                </c:pt>
                <c:pt idx="2">
                  <c:v>Small Growth</c:v>
                </c:pt>
                <c:pt idx="3">
                  <c:v>Small Value</c:v>
                </c:pt>
              </c:strCache>
            </c:strRef>
          </c:cat>
          <c:val>
            <c:numRef>
              <c:f>'MF Stocks'!$J$9:$J$12</c:f>
              <c:numCache>
                <c:formatCode>General</c:formatCode>
                <c:ptCount val="4"/>
                <c:pt idx="0">
                  <c:v>18010511504.34922</c:v>
                </c:pt>
                <c:pt idx="1">
                  <c:v>0</c:v>
                </c:pt>
                <c:pt idx="2">
                  <c:v>201172477.14086998</c:v>
                </c:pt>
                <c:pt idx="3">
                  <c:v>0</c:v>
                </c:pt>
              </c:numCache>
            </c:numRef>
          </c:val>
          <c:extLst>
            <c:ext xmlns:c16="http://schemas.microsoft.com/office/drawing/2014/chart" uri="{C3380CC4-5D6E-409C-BE32-E72D297353CC}">
              <c16:uniqueId val="{00000000-4ADB-4A2C-A980-6DD83A4BB4EA}"/>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1"/>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r>
              <a:rPr lang="en-US">
                <a:latin typeface="Calisto MT" panose="02040603050505030304" pitchFamily="18" charset="0"/>
              </a:rPr>
              <a:t>SPFIX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lotArea>
      <c:layout/>
      <c:pieChart>
        <c:varyColors val="1"/>
        <c:ser>
          <c:idx val="0"/>
          <c:order val="0"/>
          <c:tx>
            <c:strRef>
              <c:f>'MF Stocks'!$J$15</c:f>
              <c:strCache>
                <c:ptCount val="1"/>
                <c:pt idx="0">
                  <c:v>Total Size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7B9-4EA9-9C66-13C73117862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7B9-4EA9-9C66-13C73117862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2-87B9-4EA9-9C66-13C73117862F}"/>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1-87B9-4EA9-9C66-13C73117862F}"/>
              </c:ext>
            </c:extLst>
          </c:dPt>
          <c:dLbls>
            <c:dLbl>
              <c:idx val="0"/>
              <c:layout>
                <c:manualLayout>
                  <c:x val="0.14315464933695504"/>
                  <c:y val="-0.331672330432380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8FF822D-2B4E-4DD1-9D1D-CFBA9964789E}" type="CATEGORYNAME">
                      <a:rPr lang="en-US">
                        <a:solidFill>
                          <a:sysClr val="windowText" lastClr="000000"/>
                        </a:solidFill>
                      </a:rPr>
                      <a:pPr>
                        <a:defRPr/>
                      </a:pPr>
                      <a:t>[CATEGORY NAME]</a:t>
                    </a:fld>
                    <a:endParaRPr lang="en-US">
                      <a:solidFill>
                        <a:sysClr val="windowText" lastClr="000000"/>
                      </a:solidFill>
                    </a:endParaRPr>
                  </a:p>
                  <a:p>
                    <a:pPr>
                      <a:defRPr/>
                    </a:pPr>
                    <a:fld id="{7E4B52C4-0BD8-42EB-869A-CF31FB9ED41F}" type="PERCENTAGE">
                      <a:rPr lang="en-US" baseline="0">
                        <a:solidFill>
                          <a:sysClr val="windowText" lastClr="000000"/>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193595342066955"/>
                      <c:h val="0.39968448680757013"/>
                    </c:manualLayout>
                  </c15:layout>
                  <c15:dlblFieldTable/>
                  <c15:showDataLabelsRange val="0"/>
                </c:ext>
                <c:ext xmlns:c16="http://schemas.microsoft.com/office/drawing/2014/chart" uri="{C3380CC4-5D6E-409C-BE32-E72D297353CC}">
                  <c16:uniqueId val="{00000004-87B9-4EA9-9C66-13C73117862F}"/>
                </c:ext>
              </c:extLst>
            </c:dLbl>
            <c:dLbl>
              <c:idx val="1"/>
              <c:layout>
                <c:manualLayout>
                  <c:x val="-8.2089190932925243E-2"/>
                  <c:y val="5.5598753280839873E-2"/>
                </c:manualLayout>
              </c:layout>
              <c:tx>
                <c:rich>
                  <a:bodyPr/>
                  <a:lstStyle/>
                  <a:p>
                    <a:fld id="{39C68574-C1A7-4696-AC0F-5D2ABE9A100D}" type="CATEGORYNAME">
                      <a:rPr lang="en-US"/>
                      <a:pPr/>
                      <a:t>[CATEGORY NAME]</a:t>
                    </a:fld>
                    <a:r>
                      <a:rPr lang="en-US" baseline="0"/>
                      <a:t>, </a:t>
                    </a:r>
                    <a:fld id="{34095FCE-D3B5-4411-9B14-A95677F257EC}"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7B9-4EA9-9C66-13C73117862F}"/>
                </c:ext>
              </c:extLst>
            </c:dLbl>
            <c:dLbl>
              <c:idx val="2"/>
              <c:delete val="1"/>
              <c:extLst>
                <c:ext xmlns:c15="http://schemas.microsoft.com/office/drawing/2012/chart" uri="{CE6537A1-D6FC-4f65-9D91-7224C49458BB}"/>
                <c:ext xmlns:c16="http://schemas.microsoft.com/office/drawing/2014/chart" uri="{C3380CC4-5D6E-409C-BE32-E72D297353CC}">
                  <c16:uniqueId val="{00000002-87B9-4EA9-9C66-13C73117862F}"/>
                </c:ext>
              </c:extLst>
            </c:dLbl>
            <c:dLbl>
              <c:idx val="3"/>
              <c:delete val="1"/>
              <c:extLst>
                <c:ext xmlns:c15="http://schemas.microsoft.com/office/drawing/2012/chart" uri="{CE6537A1-D6FC-4f65-9D91-7224C49458BB}"/>
                <c:ext xmlns:c16="http://schemas.microsoft.com/office/drawing/2014/chart" uri="{C3380CC4-5D6E-409C-BE32-E72D297353CC}">
                  <c16:uniqueId val="{00000001-87B9-4EA9-9C66-13C7311786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'MF Stocks'!$I$16:$I$19</c:f>
              <c:strCache>
                <c:ptCount val="4"/>
                <c:pt idx="0">
                  <c:v>Big Growth</c:v>
                </c:pt>
                <c:pt idx="1">
                  <c:v>Big Value</c:v>
                </c:pt>
                <c:pt idx="2">
                  <c:v>Small Growth</c:v>
                </c:pt>
                <c:pt idx="3">
                  <c:v>Small Value</c:v>
                </c:pt>
              </c:strCache>
            </c:strRef>
          </c:cat>
          <c:val>
            <c:numRef>
              <c:f>'MF Stocks'!$J$16:$J$19</c:f>
              <c:numCache>
                <c:formatCode>General</c:formatCode>
                <c:ptCount val="4"/>
                <c:pt idx="0">
                  <c:v>20046515031.348579</c:v>
                </c:pt>
                <c:pt idx="1">
                  <c:v>2246113548.7034001</c:v>
                </c:pt>
                <c:pt idx="2">
                  <c:v>0</c:v>
                </c:pt>
                <c:pt idx="3">
                  <c:v>0</c:v>
                </c:pt>
              </c:numCache>
            </c:numRef>
          </c:val>
          <c:extLst>
            <c:ext xmlns:c16="http://schemas.microsoft.com/office/drawing/2014/chart" uri="{C3380CC4-5D6E-409C-BE32-E72D297353CC}">
              <c16:uniqueId val="{00000000-87B9-4EA9-9C66-13C73117862F}"/>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2"/>
        <c:delete val="1"/>
      </c:legendEntry>
      <c:legendEntry>
        <c:idx val="3"/>
        <c:delete val="1"/>
      </c:legendEntry>
      <c:layout>
        <c:manualLayout>
          <c:xMode val="edge"/>
          <c:yMode val="edge"/>
          <c:x val="0.17351855035587802"/>
          <c:y val="0.82543776764746513"/>
          <c:w val="0.64696844612485116"/>
          <c:h val="0.10663581744225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alisto MT" panose="02040603050505030304" pitchFamily="18" charset="0"/>
              </a:rPr>
              <a:t>Investment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Investment!$B$7</c:f>
              <c:strCache>
                <c:ptCount val="1"/>
                <c:pt idx="0">
                  <c:v>FGINX</c:v>
                </c:pt>
              </c:strCache>
            </c:strRef>
          </c:tx>
          <c:spPr>
            <a:ln w="28575" cap="rnd">
              <a:solidFill>
                <a:schemeClr val="accent1"/>
              </a:solidFill>
              <a:round/>
            </a:ln>
            <a:effectLst/>
          </c:spPr>
          <c:marker>
            <c:symbol val="none"/>
          </c:marker>
          <c:cat>
            <c:strRef>
              <c:f>Investment!$A$8:$A$141</c:f>
              <c:strCache>
                <c:ptCount val="134"/>
                <c:pt idx="0">
                  <c:v>Date</c:v>
                </c:pt>
                <c:pt idx="1">
                  <c:v>Initial Inv</c:v>
                </c:pt>
                <c:pt idx="2">
                  <c:v>1/31/2014</c:v>
                </c:pt>
                <c:pt idx="3">
                  <c:v>2/28/2014</c:v>
                </c:pt>
                <c:pt idx="4">
                  <c:v>3/31/2014</c:v>
                </c:pt>
                <c:pt idx="5">
                  <c:v>4/30/2014</c:v>
                </c:pt>
                <c:pt idx="6">
                  <c:v>5/30/2014</c:v>
                </c:pt>
                <c:pt idx="7">
                  <c:v>6/30/2014</c:v>
                </c:pt>
                <c:pt idx="8">
                  <c:v>7/31/2014</c:v>
                </c:pt>
                <c:pt idx="9">
                  <c:v>8/29/2014</c:v>
                </c:pt>
                <c:pt idx="10">
                  <c:v>9/30/2014</c:v>
                </c:pt>
                <c:pt idx="11">
                  <c:v>10/31/2014</c:v>
                </c:pt>
                <c:pt idx="12">
                  <c:v>11/28/2014</c:v>
                </c:pt>
                <c:pt idx="13">
                  <c:v>12/31/2014</c:v>
                </c:pt>
                <c:pt idx="14">
                  <c:v>1/30/2015</c:v>
                </c:pt>
                <c:pt idx="15">
                  <c:v>2/27/2015</c:v>
                </c:pt>
                <c:pt idx="16">
                  <c:v>3/31/2015</c:v>
                </c:pt>
                <c:pt idx="17">
                  <c:v>4/30/2015</c:v>
                </c:pt>
                <c:pt idx="18">
                  <c:v>5/29/2015</c:v>
                </c:pt>
                <c:pt idx="19">
                  <c:v>6/30/2015</c:v>
                </c:pt>
                <c:pt idx="20">
                  <c:v>7/31/2015</c:v>
                </c:pt>
                <c:pt idx="21">
                  <c:v>8/31/2015</c:v>
                </c:pt>
                <c:pt idx="22">
                  <c:v>9/30/2015</c:v>
                </c:pt>
                <c:pt idx="23">
                  <c:v>10/30/2015</c:v>
                </c:pt>
                <c:pt idx="24">
                  <c:v>11/30/2015</c:v>
                </c:pt>
                <c:pt idx="25">
                  <c:v>12/31/2015</c:v>
                </c:pt>
                <c:pt idx="26">
                  <c:v>1/29/2016</c:v>
                </c:pt>
                <c:pt idx="27">
                  <c:v>2/29/2016</c:v>
                </c:pt>
                <c:pt idx="28">
                  <c:v>3/31/2016</c:v>
                </c:pt>
                <c:pt idx="29">
                  <c:v>4/29/2016</c:v>
                </c:pt>
                <c:pt idx="30">
                  <c:v>5/31/2016</c:v>
                </c:pt>
                <c:pt idx="31">
                  <c:v>6/30/2016</c:v>
                </c:pt>
                <c:pt idx="32">
                  <c:v>7/29/2016</c:v>
                </c:pt>
                <c:pt idx="33">
                  <c:v>8/31/2016</c:v>
                </c:pt>
                <c:pt idx="34">
                  <c:v>9/30/2016</c:v>
                </c:pt>
                <c:pt idx="35">
                  <c:v>10/31/2016</c:v>
                </c:pt>
                <c:pt idx="36">
                  <c:v>11/30/2016</c:v>
                </c:pt>
                <c:pt idx="37">
                  <c:v>12/30/2016</c:v>
                </c:pt>
                <c:pt idx="38">
                  <c:v>1/31/2017</c:v>
                </c:pt>
                <c:pt idx="39">
                  <c:v>2/28/2017</c:v>
                </c:pt>
                <c:pt idx="40">
                  <c:v>3/31/2017</c:v>
                </c:pt>
                <c:pt idx="41">
                  <c:v>4/28/2017</c:v>
                </c:pt>
                <c:pt idx="42">
                  <c:v>5/31/2017</c:v>
                </c:pt>
                <c:pt idx="43">
                  <c:v>6/30/2017</c:v>
                </c:pt>
                <c:pt idx="44">
                  <c:v>7/31/2017</c:v>
                </c:pt>
                <c:pt idx="45">
                  <c:v>8/31/2017</c:v>
                </c:pt>
                <c:pt idx="46">
                  <c:v>9/29/2017</c:v>
                </c:pt>
                <c:pt idx="47">
                  <c:v>10/31/2017</c:v>
                </c:pt>
                <c:pt idx="48">
                  <c:v>11/30/2017</c:v>
                </c:pt>
                <c:pt idx="49">
                  <c:v>12/29/2017</c:v>
                </c:pt>
                <c:pt idx="50">
                  <c:v>1/31/2018</c:v>
                </c:pt>
                <c:pt idx="51">
                  <c:v>2/28/2018</c:v>
                </c:pt>
                <c:pt idx="52">
                  <c:v>3/29/2018</c:v>
                </c:pt>
                <c:pt idx="53">
                  <c:v>4/30/2018</c:v>
                </c:pt>
                <c:pt idx="54">
                  <c:v>5/31/2018</c:v>
                </c:pt>
                <c:pt idx="55">
                  <c:v>6/29/2018</c:v>
                </c:pt>
                <c:pt idx="56">
                  <c:v>7/31/2018</c:v>
                </c:pt>
                <c:pt idx="57">
                  <c:v>8/31/2018</c:v>
                </c:pt>
                <c:pt idx="58">
                  <c:v>9/28/2018</c:v>
                </c:pt>
                <c:pt idx="59">
                  <c:v>10/31/2018</c:v>
                </c:pt>
                <c:pt idx="60">
                  <c:v>11/30/2018</c:v>
                </c:pt>
                <c:pt idx="61">
                  <c:v>12/31/2018</c:v>
                </c:pt>
                <c:pt idx="62">
                  <c:v>1/31/2019</c:v>
                </c:pt>
                <c:pt idx="63">
                  <c:v>2/28/2019</c:v>
                </c:pt>
                <c:pt idx="64">
                  <c:v>3/29/2019</c:v>
                </c:pt>
                <c:pt idx="65">
                  <c:v>4/30/2019</c:v>
                </c:pt>
                <c:pt idx="66">
                  <c:v>5/31/2019</c:v>
                </c:pt>
                <c:pt idx="67">
                  <c:v>6/28/2019</c:v>
                </c:pt>
                <c:pt idx="68">
                  <c:v>7/31/2019</c:v>
                </c:pt>
                <c:pt idx="69">
                  <c:v>8/30/2019</c:v>
                </c:pt>
                <c:pt idx="70">
                  <c:v>9/30/2019</c:v>
                </c:pt>
                <c:pt idx="71">
                  <c:v>10/31/2019</c:v>
                </c:pt>
                <c:pt idx="72">
                  <c:v>11/29/2019</c:v>
                </c:pt>
                <c:pt idx="73">
                  <c:v>12/31/2019</c:v>
                </c:pt>
                <c:pt idx="74">
                  <c:v>1/31/2020</c:v>
                </c:pt>
                <c:pt idx="75">
                  <c:v>2/28/2020</c:v>
                </c:pt>
                <c:pt idx="76">
                  <c:v>3/31/2020</c:v>
                </c:pt>
                <c:pt idx="77">
                  <c:v>4/30/2020</c:v>
                </c:pt>
                <c:pt idx="78">
                  <c:v>5/29/2020</c:v>
                </c:pt>
                <c:pt idx="79">
                  <c:v>6/30/2020</c:v>
                </c:pt>
                <c:pt idx="80">
                  <c:v>7/31/2020</c:v>
                </c:pt>
                <c:pt idx="81">
                  <c:v>8/31/2020</c:v>
                </c:pt>
                <c:pt idx="82">
                  <c:v>9/30/2020</c:v>
                </c:pt>
                <c:pt idx="83">
                  <c:v>10/30/2020</c:v>
                </c:pt>
                <c:pt idx="84">
                  <c:v>11/30/2020</c:v>
                </c:pt>
                <c:pt idx="85">
                  <c:v>12/31/2020</c:v>
                </c:pt>
                <c:pt idx="86">
                  <c:v>1/29/2021</c:v>
                </c:pt>
                <c:pt idx="87">
                  <c:v>2/26/2021</c:v>
                </c:pt>
                <c:pt idx="88">
                  <c:v>3/31/2021</c:v>
                </c:pt>
                <c:pt idx="89">
                  <c:v>4/30/2021</c:v>
                </c:pt>
                <c:pt idx="90">
                  <c:v>5/28/2021</c:v>
                </c:pt>
                <c:pt idx="91">
                  <c:v>6/30/2021</c:v>
                </c:pt>
                <c:pt idx="92">
                  <c:v>7/30/2021</c:v>
                </c:pt>
                <c:pt idx="93">
                  <c:v>8/31/2021</c:v>
                </c:pt>
                <c:pt idx="94">
                  <c:v>9/30/2021</c:v>
                </c:pt>
                <c:pt idx="95">
                  <c:v>10/29/2021</c:v>
                </c:pt>
                <c:pt idx="96">
                  <c:v>11/30/2021</c:v>
                </c:pt>
                <c:pt idx="97">
                  <c:v>12/31/2021</c:v>
                </c:pt>
                <c:pt idx="98">
                  <c:v>1/31/2022</c:v>
                </c:pt>
                <c:pt idx="99">
                  <c:v>2/28/2022</c:v>
                </c:pt>
                <c:pt idx="100">
                  <c:v>3/31/2022</c:v>
                </c:pt>
                <c:pt idx="101">
                  <c:v>4/29/2022</c:v>
                </c:pt>
                <c:pt idx="102">
                  <c:v>5/31/2022</c:v>
                </c:pt>
                <c:pt idx="103">
                  <c:v>6/30/2022</c:v>
                </c:pt>
                <c:pt idx="104">
                  <c:v>7/29/2022</c:v>
                </c:pt>
                <c:pt idx="105">
                  <c:v>8/31/2022</c:v>
                </c:pt>
                <c:pt idx="106">
                  <c:v>9/30/2022</c:v>
                </c:pt>
                <c:pt idx="107">
                  <c:v>10/31/2022</c:v>
                </c:pt>
                <c:pt idx="108">
                  <c:v>11/30/2022</c:v>
                </c:pt>
                <c:pt idx="109">
                  <c:v>12/30/2022</c:v>
                </c:pt>
                <c:pt idx="110">
                  <c:v>1/31/2023</c:v>
                </c:pt>
                <c:pt idx="111">
                  <c:v>2/28/2023</c:v>
                </c:pt>
                <c:pt idx="112">
                  <c:v>3/31/2023</c:v>
                </c:pt>
                <c:pt idx="113">
                  <c:v>4/28/2023</c:v>
                </c:pt>
                <c:pt idx="114">
                  <c:v>5/31/2023</c:v>
                </c:pt>
                <c:pt idx="115">
                  <c:v>6/30/2023</c:v>
                </c:pt>
                <c:pt idx="116">
                  <c:v>7/31/2023</c:v>
                </c:pt>
                <c:pt idx="117">
                  <c:v>8/31/2023</c:v>
                </c:pt>
                <c:pt idx="118">
                  <c:v>9/29/2023</c:v>
                </c:pt>
                <c:pt idx="119">
                  <c:v>10/31/2023</c:v>
                </c:pt>
                <c:pt idx="120">
                  <c:v>11/30/2023</c:v>
                </c:pt>
                <c:pt idx="121">
                  <c:v>12/29/2023</c:v>
                </c:pt>
                <c:pt idx="122">
                  <c:v>1/31/2024</c:v>
                </c:pt>
                <c:pt idx="123">
                  <c:v>2/29/2024</c:v>
                </c:pt>
                <c:pt idx="124">
                  <c:v>3/28/2024</c:v>
                </c:pt>
                <c:pt idx="125">
                  <c:v>4/30/2024</c:v>
                </c:pt>
                <c:pt idx="126">
                  <c:v>5/31/2024</c:v>
                </c:pt>
                <c:pt idx="127">
                  <c:v>6/28/2024</c:v>
                </c:pt>
                <c:pt idx="128">
                  <c:v>7/31/2024</c:v>
                </c:pt>
                <c:pt idx="129">
                  <c:v>8/30/2024</c:v>
                </c:pt>
                <c:pt idx="130">
                  <c:v>9/30/2024</c:v>
                </c:pt>
                <c:pt idx="131">
                  <c:v>10/31/2024</c:v>
                </c:pt>
                <c:pt idx="132">
                  <c:v>11/29/2024</c:v>
                </c:pt>
                <c:pt idx="133">
                  <c:v>12/31/2024</c:v>
                </c:pt>
              </c:strCache>
            </c:strRef>
          </c:cat>
          <c:val>
            <c:numRef>
              <c:f>Investment!$B$8:$B$141</c:f>
              <c:numCache>
                <c:formatCode>General</c:formatCode>
                <c:ptCount val="134"/>
                <c:pt idx="0">
                  <c:v>0</c:v>
                </c:pt>
                <c:pt idx="1">
                  <c:v>1000000</c:v>
                </c:pt>
                <c:pt idx="2" formatCode="0.00">
                  <c:v>938292.75897435891</c:v>
                </c:pt>
                <c:pt idx="3" formatCode="0.00">
                  <c:v>974014.05354248185</c:v>
                </c:pt>
                <c:pt idx="4" formatCode="0.00">
                  <c:v>969631.74612190016</c:v>
                </c:pt>
                <c:pt idx="5" formatCode="0.00">
                  <c:v>962877.05584139889</c:v>
                </c:pt>
                <c:pt idx="6" formatCode="0.00">
                  <c:v>972972.43305726629</c:v>
                </c:pt>
                <c:pt idx="7" formatCode="0.00">
                  <c:v>985981.01820786146</c:v>
                </c:pt>
                <c:pt idx="8" formatCode="0.00">
                  <c:v>957891.28929192259</c:v>
                </c:pt>
                <c:pt idx="9" formatCode="0.00">
                  <c:v>987539.78379169782</c:v>
                </c:pt>
                <c:pt idx="10" formatCode="0.00">
                  <c:v>947478.18520920828</c:v>
                </c:pt>
                <c:pt idx="11" formatCode="0.00">
                  <c:v>952869.62970741</c:v>
                </c:pt>
                <c:pt idx="12" formatCode="0.00">
                  <c:v>957277.45330599905</c:v>
                </c:pt>
                <c:pt idx="13" formatCode="0.00">
                  <c:v>943334.29012899671</c:v>
                </c:pt>
                <c:pt idx="14" formatCode="0.00">
                  <c:v>906275.21777324646</c:v>
                </c:pt>
                <c:pt idx="15" formatCode="0.00">
                  <c:v>957713.28648960043</c:v>
                </c:pt>
                <c:pt idx="16" formatCode="0.00">
                  <c:v>936527.96116584039</c:v>
                </c:pt>
                <c:pt idx="17" formatCode="0.00">
                  <c:v>931545.74112030852</c:v>
                </c:pt>
                <c:pt idx="18" formatCode="0.00">
                  <c:v>943759.57764366863</c:v>
                </c:pt>
                <c:pt idx="19" formatCode="0.00">
                  <c:v>902715.29942365922</c:v>
                </c:pt>
                <c:pt idx="20" formatCode="0.00">
                  <c:v>885777.94192294299</c:v>
                </c:pt>
                <c:pt idx="21" formatCode="0.00">
                  <c:v>823083.04504889739</c:v>
                </c:pt>
                <c:pt idx="22" formatCode="0.00">
                  <c:v>781978.23834884271</c:v>
                </c:pt>
                <c:pt idx="23" formatCode="0.00">
                  <c:v>826709.32350950257</c:v>
                </c:pt>
                <c:pt idx="24" formatCode="0.00">
                  <c:v>818325.85623609496</c:v>
                </c:pt>
                <c:pt idx="25" formatCode="0.00">
                  <c:v>791205.03664208879</c:v>
                </c:pt>
                <c:pt idx="26" formatCode="0.00">
                  <c:v>727632.4827137019</c:v>
                </c:pt>
                <c:pt idx="27" formatCode="0.00">
                  <c:v>717754.1296474766</c:v>
                </c:pt>
                <c:pt idx="28" formatCode="0.00">
                  <c:v>757453.42585955013</c:v>
                </c:pt>
                <c:pt idx="29" formatCode="0.00">
                  <c:v>747197.01560313988</c:v>
                </c:pt>
                <c:pt idx="30" formatCode="0.00">
                  <c:v>747478.85600318783</c:v>
                </c:pt>
                <c:pt idx="31" formatCode="0.00">
                  <c:v>734760.12277798331</c:v>
                </c:pt>
                <c:pt idx="32" formatCode="0.00">
                  <c:v>758498.15121679776</c:v>
                </c:pt>
                <c:pt idx="33" formatCode="0.00">
                  <c:v>754878.6452027061</c:v>
                </c:pt>
                <c:pt idx="34" formatCode="0.00">
                  <c:v>742555.16362208489</c:v>
                </c:pt>
                <c:pt idx="35" formatCode="0.00">
                  <c:v>709148.59287552559</c:v>
                </c:pt>
                <c:pt idx="36" formatCode="0.00">
                  <c:v>728753.74890588224</c:v>
                </c:pt>
                <c:pt idx="37" formatCode="0.00">
                  <c:v>732755.91833497083</c:v>
                </c:pt>
                <c:pt idx="38" formatCode="0.00">
                  <c:v>732709.14862721867</c:v>
                </c:pt>
                <c:pt idx="39" formatCode="0.00">
                  <c:v>744263.58654222311</c:v>
                </c:pt>
                <c:pt idx="40" formatCode="0.00">
                  <c:v>732683.76134696952</c:v>
                </c:pt>
                <c:pt idx="41" formatCode="0.00">
                  <c:v>730926.70887613972</c:v>
                </c:pt>
                <c:pt idx="42" formatCode="0.00">
                  <c:v>720992.43824321253</c:v>
                </c:pt>
                <c:pt idx="43" formatCode="0.00">
                  <c:v>720895.99950687354</c:v>
                </c:pt>
                <c:pt idx="44" formatCode="0.00">
                  <c:v>716287.04206623673</c:v>
                </c:pt>
                <c:pt idx="45" formatCode="0.00">
                  <c:v>699536.56205843971</c:v>
                </c:pt>
                <c:pt idx="46" formatCode="0.00">
                  <c:v>713542.12386530905</c:v>
                </c:pt>
                <c:pt idx="47" formatCode="0.00">
                  <c:v>714755.60031214624</c:v>
                </c:pt>
                <c:pt idx="48" formatCode="0.00">
                  <c:v>730977.08761479077</c:v>
                </c:pt>
                <c:pt idx="49" formatCode="0.00">
                  <c:v>729029.14532696793</c:v>
                </c:pt>
                <c:pt idx="50" formatCode="0.00">
                  <c:v>746823.55982942123</c:v>
                </c:pt>
                <c:pt idx="51" formatCode="0.00">
                  <c:v>701166.99579738243</c:v>
                </c:pt>
                <c:pt idx="52" formatCode="0.00">
                  <c:v>675047.96940753702</c:v>
                </c:pt>
                <c:pt idx="53" formatCode="0.00">
                  <c:v>663922.01179175708</c:v>
                </c:pt>
                <c:pt idx="54" formatCode="0.00">
                  <c:v>663370.57472134219</c:v>
                </c:pt>
                <c:pt idx="55" formatCode="0.00">
                  <c:v>650888.35139243549</c:v>
                </c:pt>
                <c:pt idx="56" formatCode="0.00">
                  <c:v>668377.06987468537</c:v>
                </c:pt>
                <c:pt idx="57" formatCode="0.00">
                  <c:v>666043.11611875996</c:v>
                </c:pt>
                <c:pt idx="58" formatCode="0.00">
                  <c:v>658272.7932642739</c:v>
                </c:pt>
                <c:pt idx="59" formatCode="0.00">
                  <c:v>609257.22710739728</c:v>
                </c:pt>
                <c:pt idx="60" formatCode="0.00">
                  <c:v>610484.86051165417</c:v>
                </c:pt>
                <c:pt idx="61" formatCode="0.00">
                  <c:v>542218.17122342531</c:v>
                </c:pt>
                <c:pt idx="62" formatCode="0.00">
                  <c:v>567592.55971658579</c:v>
                </c:pt>
                <c:pt idx="63" formatCode="0.00">
                  <c:v>573602.00498217077</c:v>
                </c:pt>
                <c:pt idx="64" formatCode="0.00">
                  <c:v>567352.67194104486</c:v>
                </c:pt>
                <c:pt idx="65" formatCode="0.00">
                  <c:v>578774.54851556884</c:v>
                </c:pt>
                <c:pt idx="66" formatCode="0.00">
                  <c:v>536723.19285887689</c:v>
                </c:pt>
                <c:pt idx="67" formatCode="0.00">
                  <c:v>559388.32991894661</c:v>
                </c:pt>
                <c:pt idx="68" formatCode="0.00">
                  <c:v>555897.22491277882</c:v>
                </c:pt>
                <c:pt idx="69" formatCode="0.00">
                  <c:v>537339.98094300122</c:v>
                </c:pt>
                <c:pt idx="70" formatCode="0.00">
                  <c:v>540681.27264316368</c:v>
                </c:pt>
                <c:pt idx="71" formatCode="0.00">
                  <c:v>530424.86238675343</c:v>
                </c:pt>
                <c:pt idx="72" formatCode="0.00">
                  <c:v>533794.7849023497</c:v>
                </c:pt>
                <c:pt idx="73" formatCode="0.00">
                  <c:v>541709.3445531507</c:v>
                </c:pt>
                <c:pt idx="74" formatCode="0.00">
                  <c:v>516626.99178866431</c:v>
                </c:pt>
                <c:pt idx="75" formatCode="0.00">
                  <c:v>448616.99122617434</c:v>
                </c:pt>
                <c:pt idx="76" formatCode="0.00">
                  <c:v>374281.03124360397</c:v>
                </c:pt>
                <c:pt idx="77" formatCode="0.00">
                  <c:v>405698.52362242865</c:v>
                </c:pt>
                <c:pt idx="78" formatCode="0.00">
                  <c:v>412454.03308302455</c:v>
                </c:pt>
                <c:pt idx="79" formatCode="0.00">
                  <c:v>397349.53268106229</c:v>
                </c:pt>
                <c:pt idx="80" formatCode="0.00">
                  <c:v>396364.77689296729</c:v>
                </c:pt>
                <c:pt idx="81" formatCode="0.00">
                  <c:v>396107.80111571058</c:v>
                </c:pt>
                <c:pt idx="82" formatCode="0.00">
                  <c:v>376906.58391640004</c:v>
                </c:pt>
                <c:pt idx="83" formatCode="0.00">
                  <c:v>356209.44331484794</c:v>
                </c:pt>
                <c:pt idx="84" formatCode="0.00">
                  <c:v>393968.89237571741</c:v>
                </c:pt>
                <c:pt idx="85" formatCode="0.00">
                  <c:v>399908.60227708099</c:v>
                </c:pt>
                <c:pt idx="86" formatCode="0.00">
                  <c:v>383386.58477297839</c:v>
                </c:pt>
                <c:pt idx="87" formatCode="0.00">
                  <c:v>384744.97058891988</c:v>
                </c:pt>
                <c:pt idx="88" formatCode="0.00">
                  <c:v>401238.65268562111</c:v>
                </c:pt>
                <c:pt idx="89" formatCode="0.00">
                  <c:v>402310.95290359721</c:v>
                </c:pt>
                <c:pt idx="90" formatCode="0.00">
                  <c:v>403363.74798438768</c:v>
                </c:pt>
                <c:pt idx="91" formatCode="0.00">
                  <c:v>389648.38626330893</c:v>
                </c:pt>
                <c:pt idx="92" formatCode="0.00">
                  <c:v>382726.83147599932</c:v>
                </c:pt>
                <c:pt idx="93" formatCode="0.00">
                  <c:v>381207.83236055821</c:v>
                </c:pt>
                <c:pt idx="94" formatCode="0.00">
                  <c:v>357564.52718325349</c:v>
                </c:pt>
                <c:pt idx="95" formatCode="0.00">
                  <c:v>357523.14326189557</c:v>
                </c:pt>
                <c:pt idx="96" formatCode="0.00">
                  <c:v>334345.2851370842</c:v>
                </c:pt>
                <c:pt idx="97" formatCode="0.00">
                  <c:v>349992.00229438668</c:v>
                </c:pt>
                <c:pt idx="98" formatCode="0.00">
                  <c:v>340938.5957693829</c:v>
                </c:pt>
                <c:pt idx="99" formatCode="0.00">
                  <c:v>330215.59294921381</c:v>
                </c:pt>
                <c:pt idx="100" formatCode="0.00">
                  <c:v>324518.92100535869</c:v>
                </c:pt>
                <c:pt idx="101" formatCode="0.00">
                  <c:v>302158.6901474527</c:v>
                </c:pt>
                <c:pt idx="102" formatCode="0.00">
                  <c:v>304658.40952228103</c:v>
                </c:pt>
                <c:pt idx="103" formatCode="0.00">
                  <c:v>270288.70911400038</c:v>
                </c:pt>
                <c:pt idx="104" formatCode="0.00">
                  <c:v>266791.57843409432</c:v>
                </c:pt>
                <c:pt idx="105" formatCode="0.00">
                  <c:v>252903.14326662442</c:v>
                </c:pt>
                <c:pt idx="106" formatCode="0.00">
                  <c:v>225437.98405839677</c:v>
                </c:pt>
                <c:pt idx="107" formatCode="0.00">
                  <c:v>246551.17399398773</c:v>
                </c:pt>
                <c:pt idx="108" formatCode="0.00">
                  <c:v>250820.27545405383</c:v>
                </c:pt>
                <c:pt idx="109" formatCode="0.00">
                  <c:v>231707.02537266194</c:v>
                </c:pt>
                <c:pt idx="110" formatCode="0.00">
                  <c:v>230589.43910086917</c:v>
                </c:pt>
                <c:pt idx="111" formatCode="0.00">
                  <c:v>210821.03165621479</c:v>
                </c:pt>
                <c:pt idx="112" formatCode="0.00">
                  <c:v>194714.75308743646</c:v>
                </c:pt>
                <c:pt idx="113" formatCode="0.00">
                  <c:v>187002.57675369454</c:v>
                </c:pt>
                <c:pt idx="114" formatCode="0.00">
                  <c:v>171001.56259378954</c:v>
                </c:pt>
                <c:pt idx="115" formatCode="0.00">
                  <c:v>172708.7710452411</c:v>
                </c:pt>
                <c:pt idx="116" formatCode="0.00">
                  <c:v>168037.79785747241</c:v>
                </c:pt>
                <c:pt idx="117" formatCode="0.00">
                  <c:v>156219.19408242404</c:v>
                </c:pt>
                <c:pt idx="118" formatCode="0.00">
                  <c:v>142923.10885283706</c:v>
                </c:pt>
                <c:pt idx="119" formatCode="0.00">
                  <c:v>128380.90089826923</c:v>
                </c:pt>
                <c:pt idx="120" formatCode="0.00">
                  <c:v>124398.20046433875</c:v>
                </c:pt>
                <c:pt idx="121" formatCode="0.00">
                  <c:v>122691.46686166318</c:v>
                </c:pt>
                <c:pt idx="122" formatCode="0.00">
                  <c:v>113706.35979028852</c:v>
                </c:pt>
                <c:pt idx="123" formatCode="0.00">
                  <c:v>106992.28270581734</c:v>
                </c:pt>
                <c:pt idx="124" formatCode="0.00">
                  <c:v>102863.99323320459</c:v>
                </c:pt>
                <c:pt idx="125" formatCode="0.00">
                  <c:v>88287.902268841761</c:v>
                </c:pt>
                <c:pt idx="126" formatCode="0.00">
                  <c:v>79757.392552762482</c:v>
                </c:pt>
                <c:pt idx="127" formatCode="0.00">
                  <c:v>70140.808339372452</c:v>
                </c:pt>
                <c:pt idx="128" formatCode="0.00">
                  <c:v>61996.580687746355</c:v>
                </c:pt>
                <c:pt idx="129" formatCode="0.00">
                  <c:v>52131.895261671743</c:v>
                </c:pt>
                <c:pt idx="130" formatCode="0.00">
                  <c:v>42304.583100110394</c:v>
                </c:pt>
                <c:pt idx="131" formatCode="0.00">
                  <c:v>32088.10486706339</c:v>
                </c:pt>
                <c:pt idx="132" formatCode="0.00">
                  <c:v>23298.915478656691</c:v>
                </c:pt>
                <c:pt idx="133" formatCode="0.00">
                  <c:v>12195.681443176418</c:v>
                </c:pt>
              </c:numCache>
            </c:numRef>
          </c:val>
          <c:smooth val="0"/>
          <c:extLst>
            <c:ext xmlns:c16="http://schemas.microsoft.com/office/drawing/2014/chart" uri="{C3380CC4-5D6E-409C-BE32-E72D297353CC}">
              <c16:uniqueId val="{00000000-BD08-483A-984E-B94B057BB1DE}"/>
            </c:ext>
          </c:extLst>
        </c:ser>
        <c:ser>
          <c:idx val="1"/>
          <c:order val="1"/>
          <c:tx>
            <c:strRef>
              <c:f>Investment!$C$7</c:f>
              <c:strCache>
                <c:ptCount val="1"/>
                <c:pt idx="0">
                  <c:v>PGWCX</c:v>
                </c:pt>
              </c:strCache>
            </c:strRef>
          </c:tx>
          <c:spPr>
            <a:ln w="28575" cap="rnd">
              <a:solidFill>
                <a:schemeClr val="accent3"/>
              </a:solidFill>
              <a:round/>
            </a:ln>
            <a:effectLst/>
          </c:spPr>
          <c:marker>
            <c:symbol val="none"/>
          </c:marker>
          <c:cat>
            <c:strRef>
              <c:f>Investment!$A$8:$A$141</c:f>
              <c:strCache>
                <c:ptCount val="134"/>
                <c:pt idx="0">
                  <c:v>Date</c:v>
                </c:pt>
                <c:pt idx="1">
                  <c:v>Initial Inv</c:v>
                </c:pt>
                <c:pt idx="2">
                  <c:v>1/31/2014</c:v>
                </c:pt>
                <c:pt idx="3">
                  <c:v>2/28/2014</c:v>
                </c:pt>
                <c:pt idx="4">
                  <c:v>3/31/2014</c:v>
                </c:pt>
                <c:pt idx="5">
                  <c:v>4/30/2014</c:v>
                </c:pt>
                <c:pt idx="6">
                  <c:v>5/30/2014</c:v>
                </c:pt>
                <c:pt idx="7">
                  <c:v>6/30/2014</c:v>
                </c:pt>
                <c:pt idx="8">
                  <c:v>7/31/2014</c:v>
                </c:pt>
                <c:pt idx="9">
                  <c:v>8/29/2014</c:v>
                </c:pt>
                <c:pt idx="10">
                  <c:v>9/30/2014</c:v>
                </c:pt>
                <c:pt idx="11">
                  <c:v>10/31/2014</c:v>
                </c:pt>
                <c:pt idx="12">
                  <c:v>11/28/2014</c:v>
                </c:pt>
                <c:pt idx="13">
                  <c:v>12/31/2014</c:v>
                </c:pt>
                <c:pt idx="14">
                  <c:v>1/30/2015</c:v>
                </c:pt>
                <c:pt idx="15">
                  <c:v>2/27/2015</c:v>
                </c:pt>
                <c:pt idx="16">
                  <c:v>3/31/2015</c:v>
                </c:pt>
                <c:pt idx="17">
                  <c:v>4/30/2015</c:v>
                </c:pt>
                <c:pt idx="18">
                  <c:v>5/29/2015</c:v>
                </c:pt>
                <c:pt idx="19">
                  <c:v>6/30/2015</c:v>
                </c:pt>
                <c:pt idx="20">
                  <c:v>7/31/2015</c:v>
                </c:pt>
                <c:pt idx="21">
                  <c:v>8/31/2015</c:v>
                </c:pt>
                <c:pt idx="22">
                  <c:v>9/30/2015</c:v>
                </c:pt>
                <c:pt idx="23">
                  <c:v>10/30/2015</c:v>
                </c:pt>
                <c:pt idx="24">
                  <c:v>11/30/2015</c:v>
                </c:pt>
                <c:pt idx="25">
                  <c:v>12/31/2015</c:v>
                </c:pt>
                <c:pt idx="26">
                  <c:v>1/29/2016</c:v>
                </c:pt>
                <c:pt idx="27">
                  <c:v>2/29/2016</c:v>
                </c:pt>
                <c:pt idx="28">
                  <c:v>3/31/2016</c:v>
                </c:pt>
                <c:pt idx="29">
                  <c:v>4/29/2016</c:v>
                </c:pt>
                <c:pt idx="30">
                  <c:v>5/31/2016</c:v>
                </c:pt>
                <c:pt idx="31">
                  <c:v>6/30/2016</c:v>
                </c:pt>
                <c:pt idx="32">
                  <c:v>7/29/2016</c:v>
                </c:pt>
                <c:pt idx="33">
                  <c:v>8/31/2016</c:v>
                </c:pt>
                <c:pt idx="34">
                  <c:v>9/30/2016</c:v>
                </c:pt>
                <c:pt idx="35">
                  <c:v>10/31/2016</c:v>
                </c:pt>
                <c:pt idx="36">
                  <c:v>11/30/2016</c:v>
                </c:pt>
                <c:pt idx="37">
                  <c:v>12/30/2016</c:v>
                </c:pt>
                <c:pt idx="38">
                  <c:v>1/31/2017</c:v>
                </c:pt>
                <c:pt idx="39">
                  <c:v>2/28/2017</c:v>
                </c:pt>
                <c:pt idx="40">
                  <c:v>3/31/2017</c:v>
                </c:pt>
                <c:pt idx="41">
                  <c:v>4/28/2017</c:v>
                </c:pt>
                <c:pt idx="42">
                  <c:v>5/31/2017</c:v>
                </c:pt>
                <c:pt idx="43">
                  <c:v>6/30/2017</c:v>
                </c:pt>
                <c:pt idx="44">
                  <c:v>7/31/2017</c:v>
                </c:pt>
                <c:pt idx="45">
                  <c:v>8/31/2017</c:v>
                </c:pt>
                <c:pt idx="46">
                  <c:v>9/29/2017</c:v>
                </c:pt>
                <c:pt idx="47">
                  <c:v>10/31/2017</c:v>
                </c:pt>
                <c:pt idx="48">
                  <c:v>11/30/2017</c:v>
                </c:pt>
                <c:pt idx="49">
                  <c:v>12/29/2017</c:v>
                </c:pt>
                <c:pt idx="50">
                  <c:v>1/31/2018</c:v>
                </c:pt>
                <c:pt idx="51">
                  <c:v>2/28/2018</c:v>
                </c:pt>
                <c:pt idx="52">
                  <c:v>3/29/2018</c:v>
                </c:pt>
                <c:pt idx="53">
                  <c:v>4/30/2018</c:v>
                </c:pt>
                <c:pt idx="54">
                  <c:v>5/31/2018</c:v>
                </c:pt>
                <c:pt idx="55">
                  <c:v>6/29/2018</c:v>
                </c:pt>
                <c:pt idx="56">
                  <c:v>7/31/2018</c:v>
                </c:pt>
                <c:pt idx="57">
                  <c:v>8/31/2018</c:v>
                </c:pt>
                <c:pt idx="58">
                  <c:v>9/28/2018</c:v>
                </c:pt>
                <c:pt idx="59">
                  <c:v>10/31/2018</c:v>
                </c:pt>
                <c:pt idx="60">
                  <c:v>11/30/2018</c:v>
                </c:pt>
                <c:pt idx="61">
                  <c:v>12/31/2018</c:v>
                </c:pt>
                <c:pt idx="62">
                  <c:v>1/31/2019</c:v>
                </c:pt>
                <c:pt idx="63">
                  <c:v>2/28/2019</c:v>
                </c:pt>
                <c:pt idx="64">
                  <c:v>3/29/2019</c:v>
                </c:pt>
                <c:pt idx="65">
                  <c:v>4/30/2019</c:v>
                </c:pt>
                <c:pt idx="66">
                  <c:v>5/31/2019</c:v>
                </c:pt>
                <c:pt idx="67">
                  <c:v>6/28/2019</c:v>
                </c:pt>
                <c:pt idx="68">
                  <c:v>7/31/2019</c:v>
                </c:pt>
                <c:pt idx="69">
                  <c:v>8/30/2019</c:v>
                </c:pt>
                <c:pt idx="70">
                  <c:v>9/30/2019</c:v>
                </c:pt>
                <c:pt idx="71">
                  <c:v>10/31/2019</c:v>
                </c:pt>
                <c:pt idx="72">
                  <c:v>11/29/2019</c:v>
                </c:pt>
                <c:pt idx="73">
                  <c:v>12/31/2019</c:v>
                </c:pt>
                <c:pt idx="74">
                  <c:v>1/31/2020</c:v>
                </c:pt>
                <c:pt idx="75">
                  <c:v>2/28/2020</c:v>
                </c:pt>
                <c:pt idx="76">
                  <c:v>3/31/2020</c:v>
                </c:pt>
                <c:pt idx="77">
                  <c:v>4/30/2020</c:v>
                </c:pt>
                <c:pt idx="78">
                  <c:v>5/29/2020</c:v>
                </c:pt>
                <c:pt idx="79">
                  <c:v>6/30/2020</c:v>
                </c:pt>
                <c:pt idx="80">
                  <c:v>7/31/2020</c:v>
                </c:pt>
                <c:pt idx="81">
                  <c:v>8/31/2020</c:v>
                </c:pt>
                <c:pt idx="82">
                  <c:v>9/30/2020</c:v>
                </c:pt>
                <c:pt idx="83">
                  <c:v>10/30/2020</c:v>
                </c:pt>
                <c:pt idx="84">
                  <c:v>11/30/2020</c:v>
                </c:pt>
                <c:pt idx="85">
                  <c:v>12/31/2020</c:v>
                </c:pt>
                <c:pt idx="86">
                  <c:v>1/29/2021</c:v>
                </c:pt>
                <c:pt idx="87">
                  <c:v>2/26/2021</c:v>
                </c:pt>
                <c:pt idx="88">
                  <c:v>3/31/2021</c:v>
                </c:pt>
                <c:pt idx="89">
                  <c:v>4/30/2021</c:v>
                </c:pt>
                <c:pt idx="90">
                  <c:v>5/28/2021</c:v>
                </c:pt>
                <c:pt idx="91">
                  <c:v>6/30/2021</c:v>
                </c:pt>
                <c:pt idx="92">
                  <c:v>7/30/2021</c:v>
                </c:pt>
                <c:pt idx="93">
                  <c:v>8/31/2021</c:v>
                </c:pt>
                <c:pt idx="94">
                  <c:v>9/30/2021</c:v>
                </c:pt>
                <c:pt idx="95">
                  <c:v>10/29/2021</c:v>
                </c:pt>
                <c:pt idx="96">
                  <c:v>11/30/2021</c:v>
                </c:pt>
                <c:pt idx="97">
                  <c:v>12/31/2021</c:v>
                </c:pt>
                <c:pt idx="98">
                  <c:v>1/31/2022</c:v>
                </c:pt>
                <c:pt idx="99">
                  <c:v>2/28/2022</c:v>
                </c:pt>
                <c:pt idx="100">
                  <c:v>3/31/2022</c:v>
                </c:pt>
                <c:pt idx="101">
                  <c:v>4/29/2022</c:v>
                </c:pt>
                <c:pt idx="102">
                  <c:v>5/31/2022</c:v>
                </c:pt>
                <c:pt idx="103">
                  <c:v>6/30/2022</c:v>
                </c:pt>
                <c:pt idx="104">
                  <c:v>7/29/2022</c:v>
                </c:pt>
                <c:pt idx="105">
                  <c:v>8/31/2022</c:v>
                </c:pt>
                <c:pt idx="106">
                  <c:v>9/30/2022</c:v>
                </c:pt>
                <c:pt idx="107">
                  <c:v>10/31/2022</c:v>
                </c:pt>
                <c:pt idx="108">
                  <c:v>11/30/2022</c:v>
                </c:pt>
                <c:pt idx="109">
                  <c:v>12/30/2022</c:v>
                </c:pt>
                <c:pt idx="110">
                  <c:v>1/31/2023</c:v>
                </c:pt>
                <c:pt idx="111">
                  <c:v>2/28/2023</c:v>
                </c:pt>
                <c:pt idx="112">
                  <c:v>3/31/2023</c:v>
                </c:pt>
                <c:pt idx="113">
                  <c:v>4/28/2023</c:v>
                </c:pt>
                <c:pt idx="114">
                  <c:v>5/31/2023</c:v>
                </c:pt>
                <c:pt idx="115">
                  <c:v>6/30/2023</c:v>
                </c:pt>
                <c:pt idx="116">
                  <c:v>7/31/2023</c:v>
                </c:pt>
                <c:pt idx="117">
                  <c:v>8/31/2023</c:v>
                </c:pt>
                <c:pt idx="118">
                  <c:v>9/29/2023</c:v>
                </c:pt>
                <c:pt idx="119">
                  <c:v>10/31/2023</c:v>
                </c:pt>
                <c:pt idx="120">
                  <c:v>11/30/2023</c:v>
                </c:pt>
                <c:pt idx="121">
                  <c:v>12/29/2023</c:v>
                </c:pt>
                <c:pt idx="122">
                  <c:v>1/31/2024</c:v>
                </c:pt>
                <c:pt idx="123">
                  <c:v>2/29/2024</c:v>
                </c:pt>
                <c:pt idx="124">
                  <c:v>3/28/2024</c:v>
                </c:pt>
                <c:pt idx="125">
                  <c:v>4/30/2024</c:v>
                </c:pt>
                <c:pt idx="126">
                  <c:v>5/31/2024</c:v>
                </c:pt>
                <c:pt idx="127">
                  <c:v>6/28/2024</c:v>
                </c:pt>
                <c:pt idx="128">
                  <c:v>7/31/2024</c:v>
                </c:pt>
                <c:pt idx="129">
                  <c:v>8/30/2024</c:v>
                </c:pt>
                <c:pt idx="130">
                  <c:v>9/30/2024</c:v>
                </c:pt>
                <c:pt idx="131">
                  <c:v>10/31/2024</c:v>
                </c:pt>
                <c:pt idx="132">
                  <c:v>11/29/2024</c:v>
                </c:pt>
                <c:pt idx="133">
                  <c:v>12/31/2024</c:v>
                </c:pt>
              </c:strCache>
            </c:strRef>
          </c:cat>
          <c:val>
            <c:numRef>
              <c:f>Investment!$C$8:$C$141</c:f>
              <c:numCache>
                <c:formatCode>General</c:formatCode>
                <c:ptCount val="134"/>
                <c:pt idx="0">
                  <c:v>0</c:v>
                </c:pt>
                <c:pt idx="1">
                  <c:v>1000000</c:v>
                </c:pt>
                <c:pt idx="2" formatCode="0.00">
                  <c:v>981319.88205128198</c:v>
                </c:pt>
                <c:pt idx="3" formatCode="0.00">
                  <c:v>1027807.5657692051</c:v>
                </c:pt>
                <c:pt idx="4" formatCode="0.00">
                  <c:v>978511.787880391</c:v>
                </c:pt>
                <c:pt idx="5" formatCode="0.00">
                  <c:v>956949.05957946542</c:v>
                </c:pt>
                <c:pt idx="6" formatCode="0.00">
                  <c:v>979937.65508933295</c:v>
                </c:pt>
                <c:pt idx="7" formatCode="0.00">
                  <c:v>982593.52028911805</c:v>
                </c:pt>
                <c:pt idx="8" formatCode="0.00">
                  <c:v>954083.42546606378</c:v>
                </c:pt>
                <c:pt idx="9" formatCode="0.00">
                  <c:v>989874.44762770215</c:v>
                </c:pt>
                <c:pt idx="10" formatCode="0.00">
                  <c:v>953407.37716338562</c:v>
                </c:pt>
                <c:pt idx="11" formatCode="0.00">
                  <c:v>969963.80574517383</c:v>
                </c:pt>
                <c:pt idx="12" formatCode="0.00">
                  <c:v>974283.43141144689</c:v>
                </c:pt>
                <c:pt idx="13" formatCode="0.00">
                  <c:v>954995.05199383514</c:v>
                </c:pt>
                <c:pt idx="14" formatCode="0.00">
                  <c:v>936730.0922714168</c:v>
                </c:pt>
                <c:pt idx="15" formatCode="0.00">
                  <c:v>992061.53338589496</c:v>
                </c:pt>
                <c:pt idx="16" formatCode="0.00">
                  <c:v>973024.83991333772</c:v>
                </c:pt>
                <c:pt idx="17" formatCode="0.00">
                  <c:v>962458.41822257789</c:v>
                </c:pt>
                <c:pt idx="18" formatCode="0.00">
                  <c:v>972154.44884109066</c:v>
                </c:pt>
                <c:pt idx="19" formatCode="0.00">
                  <c:v>957645.48735609755</c:v>
                </c:pt>
                <c:pt idx="20" formatCode="0.00">
                  <c:v>983746.08032246493</c:v>
                </c:pt>
                <c:pt idx="21" formatCode="0.00">
                  <c:v>906885.45381947537</c:v>
                </c:pt>
                <c:pt idx="22" formatCode="0.00">
                  <c:v>880460.13202049234</c:v>
                </c:pt>
                <c:pt idx="23" formatCode="0.00">
                  <c:v>942260.94094475696</c:v>
                </c:pt>
                <c:pt idx="24" formatCode="0.00">
                  <c:v>935452.94745189359</c:v>
                </c:pt>
                <c:pt idx="25" formatCode="0.00">
                  <c:v>915674.41443466744</c:v>
                </c:pt>
                <c:pt idx="26" formatCode="0.00">
                  <c:v>844688.90238400898</c:v>
                </c:pt>
                <c:pt idx="27" formatCode="0.00">
                  <c:v>825948.81698013737</c:v>
                </c:pt>
                <c:pt idx="28" formatCode="0.00">
                  <c:v>859678.61975630408</c:v>
                </c:pt>
                <c:pt idx="29" formatCode="0.00">
                  <c:v>860657.51706494903</c:v>
                </c:pt>
                <c:pt idx="30" formatCode="0.00">
                  <c:v>865007.59621908236</c:v>
                </c:pt>
                <c:pt idx="31" formatCode="0.00">
                  <c:v>840606.76333736186</c:v>
                </c:pt>
                <c:pt idx="32" formatCode="0.00">
                  <c:v>873977.79098217783</c:v>
                </c:pt>
                <c:pt idx="33" formatCode="0.00">
                  <c:v>858085.598716532</c:v>
                </c:pt>
                <c:pt idx="34" formatCode="0.00">
                  <c:v>849778.34776439157</c:v>
                </c:pt>
                <c:pt idx="35" formatCode="0.00">
                  <c:v>817516.3884820221</c:v>
                </c:pt>
                <c:pt idx="36" formatCode="0.00">
                  <c:v>805630.12032957433</c:v>
                </c:pt>
                <c:pt idx="37" formatCode="0.00">
                  <c:v>797389.18705448951</c:v>
                </c:pt>
                <c:pt idx="38" formatCode="0.00">
                  <c:v>817533.41890357458</c:v>
                </c:pt>
                <c:pt idx="39" formatCode="0.00">
                  <c:v>829724.15314960736</c:v>
                </c:pt>
                <c:pt idx="40" formatCode="0.00">
                  <c:v>832822.60869912757</c:v>
                </c:pt>
                <c:pt idx="41" formatCode="0.00">
                  <c:v>844198.86689556239</c:v>
                </c:pt>
                <c:pt idx="42" formatCode="0.00">
                  <c:v>860003.15840912564</c:v>
                </c:pt>
                <c:pt idx="43" formatCode="0.00">
                  <c:v>843566.54005340068</c:v>
                </c:pt>
                <c:pt idx="44" formatCode="0.00">
                  <c:v>853659.56316663302</c:v>
                </c:pt>
                <c:pt idx="45" formatCode="0.00">
                  <c:v>860240.85345492256</c:v>
                </c:pt>
                <c:pt idx="46" formatCode="0.00">
                  <c:v>864882.97051889577</c:v>
                </c:pt>
                <c:pt idx="47" formatCode="0.00">
                  <c:v>883825.73132041353</c:v>
                </c:pt>
                <c:pt idx="48" formatCode="0.00">
                  <c:v>908734.85408343468</c:v>
                </c:pt>
                <c:pt idx="49" formatCode="0.00">
                  <c:v>898986.98262623057</c:v>
                </c:pt>
                <c:pt idx="50" formatCode="0.00">
                  <c:v>952745.83549761854</c:v>
                </c:pt>
                <c:pt idx="51" formatCode="0.00">
                  <c:v>926239.96506062464</c:v>
                </c:pt>
                <c:pt idx="52" formatCode="0.00">
                  <c:v>885025.14261894161</c:v>
                </c:pt>
                <c:pt idx="53" formatCode="0.00">
                  <c:v>878739.30763872492</c:v>
                </c:pt>
                <c:pt idx="54" formatCode="0.00">
                  <c:v>909114.00125344878</c:v>
                </c:pt>
                <c:pt idx="55" formatCode="0.00">
                  <c:v>899542.52048137819</c:v>
                </c:pt>
                <c:pt idx="56" formatCode="0.00">
                  <c:v>904404.86338490271</c:v>
                </c:pt>
                <c:pt idx="57" formatCode="0.00">
                  <c:v>949698.31992755306</c:v>
                </c:pt>
                <c:pt idx="58" formatCode="0.00">
                  <c:v>941427.8898681876</c:v>
                </c:pt>
                <c:pt idx="59" formatCode="0.00">
                  <c:v>821814.7010461702</c:v>
                </c:pt>
                <c:pt idx="60" formatCode="0.00">
                  <c:v>822120.7219443887</c:v>
                </c:pt>
                <c:pt idx="61" formatCode="0.00">
                  <c:v>733009.55482234852</c:v>
                </c:pt>
                <c:pt idx="62" formatCode="0.00">
                  <c:v>793526.5779881241</c:v>
                </c:pt>
                <c:pt idx="63" formatCode="0.00">
                  <c:v>810409.69577344996</c:v>
                </c:pt>
                <c:pt idx="64" formatCode="0.00">
                  <c:v>817024.51754216652</c:v>
                </c:pt>
                <c:pt idx="65" formatCode="0.00">
                  <c:v>843517.20134072972</c:v>
                </c:pt>
                <c:pt idx="66" formatCode="0.00">
                  <c:v>777838.9493477192</c:v>
                </c:pt>
                <c:pt idx="67" formatCode="0.00">
                  <c:v>822034.84441444639</c:v>
                </c:pt>
                <c:pt idx="68" formatCode="0.00">
                  <c:v>822627.04115212406</c:v>
                </c:pt>
                <c:pt idx="69" formatCode="0.00">
                  <c:v>804917.94272787648</c:v>
                </c:pt>
                <c:pt idx="70" formatCode="0.00">
                  <c:v>777416.582555303</c:v>
                </c:pt>
                <c:pt idx="71" formatCode="0.00">
                  <c:v>788715.83882014698</c:v>
                </c:pt>
                <c:pt idx="72" formatCode="0.00">
                  <c:v>826385.28328326321</c:v>
                </c:pt>
                <c:pt idx="73" formatCode="0.00">
                  <c:v>833647.89541524742</c:v>
                </c:pt>
                <c:pt idx="74" formatCode="0.00">
                  <c:v>849501.2291532238</c:v>
                </c:pt>
                <c:pt idx="75" formatCode="0.00">
                  <c:v>786592.27744886535</c:v>
                </c:pt>
                <c:pt idx="76" formatCode="0.00">
                  <c:v>694712.69045170757</c:v>
                </c:pt>
                <c:pt idx="77" formatCode="0.00">
                  <c:v>793058.95817388524</c:v>
                </c:pt>
                <c:pt idx="78" formatCode="0.00">
                  <c:v>840485.70206841792</c:v>
                </c:pt>
                <c:pt idx="79" formatCode="0.00">
                  <c:v>871828.76070754009</c:v>
                </c:pt>
                <c:pt idx="80" formatCode="0.00">
                  <c:v>928345.06918344286</c:v>
                </c:pt>
                <c:pt idx="81" formatCode="0.00">
                  <c:v>1036360.5123246487</c:v>
                </c:pt>
                <c:pt idx="82" formatCode="0.00">
                  <c:v>989753.3381483691</c:v>
                </c:pt>
                <c:pt idx="83" formatCode="0.00">
                  <c:v>936763.43592188845</c:v>
                </c:pt>
                <c:pt idx="84" formatCode="0.00">
                  <c:v>1024650.0618801709</c:v>
                </c:pt>
                <c:pt idx="85" formatCode="0.00">
                  <c:v>1065729.0711514845</c:v>
                </c:pt>
                <c:pt idx="86" formatCode="0.00">
                  <c:v>1040002.5981043351</c:v>
                </c:pt>
                <c:pt idx="87" formatCode="0.00">
                  <c:v>1052856.7815417959</c:v>
                </c:pt>
                <c:pt idx="88" formatCode="0.00">
                  <c:v>1046591.4455066661</c:v>
                </c:pt>
                <c:pt idx="89" formatCode="0.00">
                  <c:v>1114593.8754371789</c:v>
                </c:pt>
                <c:pt idx="90" formatCode="0.00">
                  <c:v>1080840.4769341175</c:v>
                </c:pt>
                <c:pt idx="91" formatCode="0.00">
                  <c:v>1129285.2616377126</c:v>
                </c:pt>
                <c:pt idx="92" formatCode="0.00">
                  <c:v>1149778.6451884091</c:v>
                </c:pt>
                <c:pt idx="93" formatCode="0.00">
                  <c:v>1185996.5097614655</c:v>
                </c:pt>
                <c:pt idx="94" formatCode="0.00">
                  <c:v>1107260.2931494829</c:v>
                </c:pt>
                <c:pt idx="95" formatCode="0.00">
                  <c:v>1174826.4353493901</c:v>
                </c:pt>
                <c:pt idx="96" formatCode="0.00">
                  <c:v>1150229.5098039848</c:v>
                </c:pt>
                <c:pt idx="97" formatCode="0.00">
                  <c:v>1151954.2168238196</c:v>
                </c:pt>
                <c:pt idx="98" formatCode="0.00">
                  <c:v>1032766.1354471996</c:v>
                </c:pt>
                <c:pt idx="99" formatCode="0.00">
                  <c:v>964806.4338690975</c:v>
                </c:pt>
                <c:pt idx="100" formatCode="0.00">
                  <c:v>997027.4996634518</c:v>
                </c:pt>
                <c:pt idx="101" formatCode="0.00">
                  <c:v>860986.3918692366</c:v>
                </c:pt>
                <c:pt idx="102" formatCode="0.00">
                  <c:v>822150.5586105251</c:v>
                </c:pt>
                <c:pt idx="103" formatCode="0.00">
                  <c:v>738712.44550391997</c:v>
                </c:pt>
                <c:pt idx="104" formatCode="0.00">
                  <c:v>816155.58578699257</c:v>
                </c:pt>
                <c:pt idx="105" formatCode="0.00">
                  <c:v>755091.26200925675</c:v>
                </c:pt>
                <c:pt idx="106" formatCode="0.00">
                  <c:v>672967.2265769178</c:v>
                </c:pt>
                <c:pt idx="107" formatCode="0.00">
                  <c:v>692198.79680350493</c:v>
                </c:pt>
                <c:pt idx="108" formatCode="0.00">
                  <c:v>714357.8359492243</c:v>
                </c:pt>
                <c:pt idx="109" formatCode="0.00">
                  <c:v>644228.86506045121</c:v>
                </c:pt>
                <c:pt idx="110" formatCode="0.00">
                  <c:v>695599.01521817734</c:v>
                </c:pt>
                <c:pt idx="111" formatCode="0.00">
                  <c:v>674608.08374025091</c:v>
                </c:pt>
                <c:pt idx="112" formatCode="0.00">
                  <c:v>724476.82863747526</c:v>
                </c:pt>
                <c:pt idx="113" formatCode="0.00">
                  <c:v>733761.48902797094</c:v>
                </c:pt>
                <c:pt idx="114" formatCode="0.00">
                  <c:v>775849.22421052563</c:v>
                </c:pt>
                <c:pt idx="115" formatCode="0.00">
                  <c:v>815977.24263324973</c:v>
                </c:pt>
                <c:pt idx="116" formatCode="0.00">
                  <c:v>825746.21794473333</c:v>
                </c:pt>
                <c:pt idx="117" formatCode="0.00">
                  <c:v>812090.84616987815</c:v>
                </c:pt>
                <c:pt idx="118" formatCode="0.00">
                  <c:v>751185.7619345577</c:v>
                </c:pt>
                <c:pt idx="119" formatCode="0.00">
                  <c:v>735813.23450480984</c:v>
                </c:pt>
                <c:pt idx="120" formatCode="0.00">
                  <c:v>811020.88813344284</c:v>
                </c:pt>
                <c:pt idx="121" formatCode="0.00">
                  <c:v>831303.2327698291</c:v>
                </c:pt>
                <c:pt idx="122" formatCode="0.00">
                  <c:v>849602.00995361293</c:v>
                </c:pt>
                <c:pt idx="123" formatCode="0.00">
                  <c:v>906080.28963792778</c:v>
                </c:pt>
                <c:pt idx="124" formatCode="0.00">
                  <c:v>919816.7303429927</c:v>
                </c:pt>
                <c:pt idx="125" formatCode="0.00">
                  <c:v>865075.54395178787</c:v>
                </c:pt>
                <c:pt idx="126" formatCode="0.00">
                  <c:v>920461.54979097936</c:v>
                </c:pt>
                <c:pt idx="127" formatCode="0.00">
                  <c:v>982360.74176603265</c:v>
                </c:pt>
                <c:pt idx="128" formatCode="0.00">
                  <c:v>939414.4070496168</c:v>
                </c:pt>
                <c:pt idx="129" formatCode="0.00">
                  <c:v>950996.92634983407</c:v>
                </c:pt>
                <c:pt idx="130" formatCode="0.00">
                  <c:v>964027.6068288004</c:v>
                </c:pt>
                <c:pt idx="131" formatCode="0.00">
                  <c:v>962376.12030786637</c:v>
                </c:pt>
                <c:pt idx="132" formatCode="0.00">
                  <c:v>1010339.9260816826</c:v>
                </c:pt>
                <c:pt idx="133" formatCode="0.00">
                  <c:v>986459.37808918452</c:v>
                </c:pt>
              </c:numCache>
            </c:numRef>
          </c:val>
          <c:smooth val="0"/>
          <c:extLst>
            <c:ext xmlns:c16="http://schemas.microsoft.com/office/drawing/2014/chart" uri="{C3380CC4-5D6E-409C-BE32-E72D297353CC}">
              <c16:uniqueId val="{00000001-BD08-483A-984E-B94B057BB1DE}"/>
            </c:ext>
          </c:extLst>
        </c:ser>
        <c:ser>
          <c:idx val="2"/>
          <c:order val="2"/>
          <c:tx>
            <c:strRef>
              <c:f>Investment!$D$7</c:f>
              <c:strCache>
                <c:ptCount val="1"/>
                <c:pt idx="0">
                  <c:v>SPFIX</c:v>
                </c:pt>
              </c:strCache>
            </c:strRef>
          </c:tx>
          <c:spPr>
            <a:ln w="28575" cap="rnd">
              <a:solidFill>
                <a:schemeClr val="accent5"/>
              </a:solidFill>
              <a:round/>
            </a:ln>
            <a:effectLst/>
          </c:spPr>
          <c:marker>
            <c:symbol val="none"/>
          </c:marker>
          <c:cat>
            <c:strRef>
              <c:f>Investment!$A$8:$A$141</c:f>
              <c:strCache>
                <c:ptCount val="134"/>
                <c:pt idx="0">
                  <c:v>Date</c:v>
                </c:pt>
                <c:pt idx="1">
                  <c:v>Initial Inv</c:v>
                </c:pt>
                <c:pt idx="2">
                  <c:v>1/31/2014</c:v>
                </c:pt>
                <c:pt idx="3">
                  <c:v>2/28/2014</c:v>
                </c:pt>
                <c:pt idx="4">
                  <c:v>3/31/2014</c:v>
                </c:pt>
                <c:pt idx="5">
                  <c:v>4/30/2014</c:v>
                </c:pt>
                <c:pt idx="6">
                  <c:v>5/30/2014</c:v>
                </c:pt>
                <c:pt idx="7">
                  <c:v>6/30/2014</c:v>
                </c:pt>
                <c:pt idx="8">
                  <c:v>7/31/2014</c:v>
                </c:pt>
                <c:pt idx="9">
                  <c:v>8/29/2014</c:v>
                </c:pt>
                <c:pt idx="10">
                  <c:v>9/30/2014</c:v>
                </c:pt>
                <c:pt idx="11">
                  <c:v>10/31/2014</c:v>
                </c:pt>
                <c:pt idx="12">
                  <c:v>11/28/2014</c:v>
                </c:pt>
                <c:pt idx="13">
                  <c:v>12/31/2014</c:v>
                </c:pt>
                <c:pt idx="14">
                  <c:v>1/30/2015</c:v>
                </c:pt>
                <c:pt idx="15">
                  <c:v>2/27/2015</c:v>
                </c:pt>
                <c:pt idx="16">
                  <c:v>3/31/2015</c:v>
                </c:pt>
                <c:pt idx="17">
                  <c:v>4/30/2015</c:v>
                </c:pt>
                <c:pt idx="18">
                  <c:v>5/29/2015</c:v>
                </c:pt>
                <c:pt idx="19">
                  <c:v>6/30/2015</c:v>
                </c:pt>
                <c:pt idx="20">
                  <c:v>7/31/2015</c:v>
                </c:pt>
                <c:pt idx="21">
                  <c:v>8/31/2015</c:v>
                </c:pt>
                <c:pt idx="22">
                  <c:v>9/30/2015</c:v>
                </c:pt>
                <c:pt idx="23">
                  <c:v>10/30/2015</c:v>
                </c:pt>
                <c:pt idx="24">
                  <c:v>11/30/2015</c:v>
                </c:pt>
                <c:pt idx="25">
                  <c:v>12/31/2015</c:v>
                </c:pt>
                <c:pt idx="26">
                  <c:v>1/29/2016</c:v>
                </c:pt>
                <c:pt idx="27">
                  <c:v>2/29/2016</c:v>
                </c:pt>
                <c:pt idx="28">
                  <c:v>3/31/2016</c:v>
                </c:pt>
                <c:pt idx="29">
                  <c:v>4/29/2016</c:v>
                </c:pt>
                <c:pt idx="30">
                  <c:v>5/31/2016</c:v>
                </c:pt>
                <c:pt idx="31">
                  <c:v>6/30/2016</c:v>
                </c:pt>
                <c:pt idx="32">
                  <c:v>7/29/2016</c:v>
                </c:pt>
                <c:pt idx="33">
                  <c:v>8/31/2016</c:v>
                </c:pt>
                <c:pt idx="34">
                  <c:v>9/30/2016</c:v>
                </c:pt>
                <c:pt idx="35">
                  <c:v>10/31/2016</c:v>
                </c:pt>
                <c:pt idx="36">
                  <c:v>11/30/2016</c:v>
                </c:pt>
                <c:pt idx="37">
                  <c:v>12/30/2016</c:v>
                </c:pt>
                <c:pt idx="38">
                  <c:v>1/31/2017</c:v>
                </c:pt>
                <c:pt idx="39">
                  <c:v>2/28/2017</c:v>
                </c:pt>
                <c:pt idx="40">
                  <c:v>3/31/2017</c:v>
                </c:pt>
                <c:pt idx="41">
                  <c:v>4/28/2017</c:v>
                </c:pt>
                <c:pt idx="42">
                  <c:v>5/31/2017</c:v>
                </c:pt>
                <c:pt idx="43">
                  <c:v>6/30/2017</c:v>
                </c:pt>
                <c:pt idx="44">
                  <c:v>7/31/2017</c:v>
                </c:pt>
                <c:pt idx="45">
                  <c:v>8/31/2017</c:v>
                </c:pt>
                <c:pt idx="46">
                  <c:v>9/29/2017</c:v>
                </c:pt>
                <c:pt idx="47">
                  <c:v>10/31/2017</c:v>
                </c:pt>
                <c:pt idx="48">
                  <c:v>11/30/2017</c:v>
                </c:pt>
                <c:pt idx="49">
                  <c:v>12/29/2017</c:v>
                </c:pt>
                <c:pt idx="50">
                  <c:v>1/31/2018</c:v>
                </c:pt>
                <c:pt idx="51">
                  <c:v>2/28/2018</c:v>
                </c:pt>
                <c:pt idx="52">
                  <c:v>3/29/2018</c:v>
                </c:pt>
                <c:pt idx="53">
                  <c:v>4/30/2018</c:v>
                </c:pt>
                <c:pt idx="54">
                  <c:v>5/31/2018</c:v>
                </c:pt>
                <c:pt idx="55">
                  <c:v>6/29/2018</c:v>
                </c:pt>
                <c:pt idx="56">
                  <c:v>7/31/2018</c:v>
                </c:pt>
                <c:pt idx="57">
                  <c:v>8/31/2018</c:v>
                </c:pt>
                <c:pt idx="58">
                  <c:v>9/28/2018</c:v>
                </c:pt>
                <c:pt idx="59">
                  <c:v>10/31/2018</c:v>
                </c:pt>
                <c:pt idx="60">
                  <c:v>11/30/2018</c:v>
                </c:pt>
                <c:pt idx="61">
                  <c:v>12/31/2018</c:v>
                </c:pt>
                <c:pt idx="62">
                  <c:v>1/31/2019</c:v>
                </c:pt>
                <c:pt idx="63">
                  <c:v>2/28/2019</c:v>
                </c:pt>
                <c:pt idx="64">
                  <c:v>3/29/2019</c:v>
                </c:pt>
                <c:pt idx="65">
                  <c:v>4/30/2019</c:v>
                </c:pt>
                <c:pt idx="66">
                  <c:v>5/31/2019</c:v>
                </c:pt>
                <c:pt idx="67">
                  <c:v>6/28/2019</c:v>
                </c:pt>
                <c:pt idx="68">
                  <c:v>7/31/2019</c:v>
                </c:pt>
                <c:pt idx="69">
                  <c:v>8/30/2019</c:v>
                </c:pt>
                <c:pt idx="70">
                  <c:v>9/30/2019</c:v>
                </c:pt>
                <c:pt idx="71">
                  <c:v>10/31/2019</c:v>
                </c:pt>
                <c:pt idx="72">
                  <c:v>11/29/2019</c:v>
                </c:pt>
                <c:pt idx="73">
                  <c:v>12/31/2019</c:v>
                </c:pt>
                <c:pt idx="74">
                  <c:v>1/31/2020</c:v>
                </c:pt>
                <c:pt idx="75">
                  <c:v>2/28/2020</c:v>
                </c:pt>
                <c:pt idx="76">
                  <c:v>3/31/2020</c:v>
                </c:pt>
                <c:pt idx="77">
                  <c:v>4/30/2020</c:v>
                </c:pt>
                <c:pt idx="78">
                  <c:v>5/29/2020</c:v>
                </c:pt>
                <c:pt idx="79">
                  <c:v>6/30/2020</c:v>
                </c:pt>
                <c:pt idx="80">
                  <c:v>7/31/2020</c:v>
                </c:pt>
                <c:pt idx="81">
                  <c:v>8/31/2020</c:v>
                </c:pt>
                <c:pt idx="82">
                  <c:v>9/30/2020</c:v>
                </c:pt>
                <c:pt idx="83">
                  <c:v>10/30/2020</c:v>
                </c:pt>
                <c:pt idx="84">
                  <c:v>11/30/2020</c:v>
                </c:pt>
                <c:pt idx="85">
                  <c:v>12/31/2020</c:v>
                </c:pt>
                <c:pt idx="86">
                  <c:v>1/29/2021</c:v>
                </c:pt>
                <c:pt idx="87">
                  <c:v>2/26/2021</c:v>
                </c:pt>
                <c:pt idx="88">
                  <c:v>3/31/2021</c:v>
                </c:pt>
                <c:pt idx="89">
                  <c:v>4/30/2021</c:v>
                </c:pt>
                <c:pt idx="90">
                  <c:v>5/28/2021</c:v>
                </c:pt>
                <c:pt idx="91">
                  <c:v>6/30/2021</c:v>
                </c:pt>
                <c:pt idx="92">
                  <c:v>7/30/2021</c:v>
                </c:pt>
                <c:pt idx="93">
                  <c:v>8/31/2021</c:v>
                </c:pt>
                <c:pt idx="94">
                  <c:v>9/30/2021</c:v>
                </c:pt>
                <c:pt idx="95">
                  <c:v>10/29/2021</c:v>
                </c:pt>
                <c:pt idx="96">
                  <c:v>11/30/2021</c:v>
                </c:pt>
                <c:pt idx="97">
                  <c:v>12/31/2021</c:v>
                </c:pt>
                <c:pt idx="98">
                  <c:v>1/31/2022</c:v>
                </c:pt>
                <c:pt idx="99">
                  <c:v>2/28/2022</c:v>
                </c:pt>
                <c:pt idx="100">
                  <c:v>3/31/2022</c:v>
                </c:pt>
                <c:pt idx="101">
                  <c:v>4/29/2022</c:v>
                </c:pt>
                <c:pt idx="102">
                  <c:v>5/31/2022</c:v>
                </c:pt>
                <c:pt idx="103">
                  <c:v>6/30/2022</c:v>
                </c:pt>
                <c:pt idx="104">
                  <c:v>7/29/2022</c:v>
                </c:pt>
                <c:pt idx="105">
                  <c:v>8/31/2022</c:v>
                </c:pt>
                <c:pt idx="106">
                  <c:v>9/30/2022</c:v>
                </c:pt>
                <c:pt idx="107">
                  <c:v>10/31/2022</c:v>
                </c:pt>
                <c:pt idx="108">
                  <c:v>11/30/2022</c:v>
                </c:pt>
                <c:pt idx="109">
                  <c:v>12/30/2022</c:v>
                </c:pt>
                <c:pt idx="110">
                  <c:v>1/31/2023</c:v>
                </c:pt>
                <c:pt idx="111">
                  <c:v>2/28/2023</c:v>
                </c:pt>
                <c:pt idx="112">
                  <c:v>3/31/2023</c:v>
                </c:pt>
                <c:pt idx="113">
                  <c:v>4/28/2023</c:v>
                </c:pt>
                <c:pt idx="114">
                  <c:v>5/31/2023</c:v>
                </c:pt>
                <c:pt idx="115">
                  <c:v>6/30/2023</c:v>
                </c:pt>
                <c:pt idx="116">
                  <c:v>7/31/2023</c:v>
                </c:pt>
                <c:pt idx="117">
                  <c:v>8/31/2023</c:v>
                </c:pt>
                <c:pt idx="118">
                  <c:v>9/29/2023</c:v>
                </c:pt>
                <c:pt idx="119">
                  <c:v>10/31/2023</c:v>
                </c:pt>
                <c:pt idx="120">
                  <c:v>11/30/2023</c:v>
                </c:pt>
                <c:pt idx="121">
                  <c:v>12/29/2023</c:v>
                </c:pt>
                <c:pt idx="122">
                  <c:v>1/31/2024</c:v>
                </c:pt>
                <c:pt idx="123">
                  <c:v>2/29/2024</c:v>
                </c:pt>
                <c:pt idx="124">
                  <c:v>3/28/2024</c:v>
                </c:pt>
                <c:pt idx="125">
                  <c:v>4/30/2024</c:v>
                </c:pt>
                <c:pt idx="126">
                  <c:v>5/31/2024</c:v>
                </c:pt>
                <c:pt idx="127">
                  <c:v>6/28/2024</c:v>
                </c:pt>
                <c:pt idx="128">
                  <c:v>7/31/2024</c:v>
                </c:pt>
                <c:pt idx="129">
                  <c:v>8/30/2024</c:v>
                </c:pt>
                <c:pt idx="130">
                  <c:v>9/30/2024</c:v>
                </c:pt>
                <c:pt idx="131">
                  <c:v>10/31/2024</c:v>
                </c:pt>
                <c:pt idx="132">
                  <c:v>11/29/2024</c:v>
                </c:pt>
                <c:pt idx="133">
                  <c:v>12/31/2024</c:v>
                </c:pt>
              </c:strCache>
            </c:strRef>
          </c:cat>
          <c:val>
            <c:numRef>
              <c:f>Investment!$D$8:$D$141</c:f>
              <c:numCache>
                <c:formatCode>General</c:formatCode>
                <c:ptCount val="134"/>
                <c:pt idx="0">
                  <c:v>0</c:v>
                </c:pt>
                <c:pt idx="1">
                  <c:v>1000000</c:v>
                </c:pt>
                <c:pt idx="2" formatCode="0.00">
                  <c:v>953989.10256410262</c:v>
                </c:pt>
                <c:pt idx="3" formatCode="0.00">
                  <c:v>986439.4278326924</c:v>
                </c:pt>
                <c:pt idx="4" formatCode="0.00">
                  <c:v>984552.81076898123</c:v>
                </c:pt>
                <c:pt idx="5" formatCode="0.00">
                  <c:v>981509.11676556559</c:v>
                </c:pt>
                <c:pt idx="6" formatCode="0.00">
                  <c:v>993431.26206229185</c:v>
                </c:pt>
                <c:pt idx="7" formatCode="0.00">
                  <c:v>1002772.4761269282</c:v>
                </c:pt>
                <c:pt idx="8" formatCode="0.00">
                  <c:v>978978.14673204417</c:v>
                </c:pt>
                <c:pt idx="9" formatCode="0.00">
                  <c:v>1007421.201126099</c:v>
                </c:pt>
                <c:pt idx="10" formatCode="0.00">
                  <c:v>982696.92691896041</c:v>
                </c:pt>
                <c:pt idx="11" formatCode="0.00">
                  <c:v>996348.93920521566</c:v>
                </c:pt>
                <c:pt idx="12" formatCode="0.00">
                  <c:v>1012789.9980775655</c:v>
                </c:pt>
                <c:pt idx="13" formatCode="0.00">
                  <c:v>999740.52924548555</c:v>
                </c:pt>
                <c:pt idx="14" formatCode="0.00">
                  <c:v>959904.48073601595</c:v>
                </c:pt>
                <c:pt idx="15" formatCode="0.00">
                  <c:v>1004163.567613558</c:v>
                </c:pt>
                <c:pt idx="16" formatCode="0.00">
                  <c:v>977362.5788157807</c:v>
                </c:pt>
                <c:pt idx="17" formatCode="0.00">
                  <c:v>976624.42747033166</c:v>
                </c:pt>
                <c:pt idx="18" formatCode="0.00">
                  <c:v>979001.3463029589</c:v>
                </c:pt>
                <c:pt idx="19" formatCode="0.00">
                  <c:v>949624.81724379794</c:v>
                </c:pt>
                <c:pt idx="20" formatCode="0.00">
                  <c:v>958562.52164736087</c:v>
                </c:pt>
                <c:pt idx="21" formatCode="0.00">
                  <c:v>890893.76279511966</c:v>
                </c:pt>
                <c:pt idx="22" formatCode="0.00">
                  <c:v>858669.85377963132</c:v>
                </c:pt>
                <c:pt idx="23" formatCode="0.00">
                  <c:v>919899.91186104424</c:v>
                </c:pt>
                <c:pt idx="24" formatCode="0.00">
                  <c:v>912006.75542180287</c:v>
                </c:pt>
                <c:pt idx="25" formatCode="0.00">
                  <c:v>886633.40237904002</c:v>
                </c:pt>
                <c:pt idx="26" formatCode="0.00">
                  <c:v>833190.88670481078</c:v>
                </c:pt>
                <c:pt idx="27" formatCode="0.00">
                  <c:v>822288.47288438852</c:v>
                </c:pt>
                <c:pt idx="28" formatCode="0.00">
                  <c:v>866557.57953725918</c:v>
                </c:pt>
                <c:pt idx="29" formatCode="0.00">
                  <c:v>859680.98999600043</c:v>
                </c:pt>
                <c:pt idx="30" formatCode="0.00">
                  <c:v>863824.87463991542</c:v>
                </c:pt>
                <c:pt idx="31" formatCode="0.00">
                  <c:v>855566.66815862688</c:v>
                </c:pt>
                <c:pt idx="32" formatCode="0.00">
                  <c:v>876011.92646922509</c:v>
                </c:pt>
                <c:pt idx="33" formatCode="0.00">
                  <c:v>866969.30544654513</c:v>
                </c:pt>
                <c:pt idx="34" formatCode="0.00">
                  <c:v>856048.9426963625</c:v>
                </c:pt>
                <c:pt idx="35" formatCode="0.00">
                  <c:v>830884.59326316568</c:v>
                </c:pt>
                <c:pt idx="36" formatCode="0.00">
                  <c:v>852438.19326464634</c:v>
                </c:pt>
                <c:pt idx="37" formatCode="0.00">
                  <c:v>855114.32646811055</c:v>
                </c:pt>
                <c:pt idx="38" formatCode="0.00">
                  <c:v>859377.64435971447</c:v>
                </c:pt>
                <c:pt idx="39" formatCode="0.00">
                  <c:v>882979.09419193934</c:v>
                </c:pt>
                <c:pt idx="40" formatCode="0.00">
                  <c:v>873333.58981428389</c:v>
                </c:pt>
                <c:pt idx="41" formatCode="0.00">
                  <c:v>871706.22519909323</c:v>
                </c:pt>
                <c:pt idx="42" formatCode="0.00">
                  <c:v>873313.70179407357</c:v>
                </c:pt>
                <c:pt idx="43" formatCode="0.00">
                  <c:v>868285.6926097984</c:v>
                </c:pt>
                <c:pt idx="44" formatCode="0.00">
                  <c:v>875116.93551145575</c:v>
                </c:pt>
                <c:pt idx="45" formatCode="0.00">
                  <c:v>867016.62254450645</c:v>
                </c:pt>
                <c:pt idx="46" formatCode="0.00">
                  <c:v>874562.83273923059</c:v>
                </c:pt>
                <c:pt idx="47" formatCode="0.00">
                  <c:v>884746.40506811661</c:v>
                </c:pt>
                <c:pt idx="48" formatCode="0.00">
                  <c:v>902036.42964827514</c:v>
                </c:pt>
                <c:pt idx="49" formatCode="0.00">
                  <c:v>901996.251294018</c:v>
                </c:pt>
                <c:pt idx="50" formatCode="0.00">
                  <c:v>943072.84498693771</c:v>
                </c:pt>
                <c:pt idx="51" formatCode="0.00">
                  <c:v>898680.95011799852</c:v>
                </c:pt>
                <c:pt idx="52" formatCode="0.00">
                  <c:v>865005.66899083671</c:v>
                </c:pt>
                <c:pt idx="53" formatCode="0.00">
                  <c:v>857440.00940092234</c:v>
                </c:pt>
                <c:pt idx="54" formatCode="0.00">
                  <c:v>867287.26595221134</c:v>
                </c:pt>
                <c:pt idx="55" formatCode="0.00">
                  <c:v>861409.42633755098</c:v>
                </c:pt>
                <c:pt idx="56" formatCode="0.00">
                  <c:v>883551.30448525341</c:v>
                </c:pt>
                <c:pt idx="57" formatCode="0.00">
                  <c:v>901615.84764868452</c:v>
                </c:pt>
                <c:pt idx="58" formatCode="0.00">
                  <c:v>896322.5267396745</c:v>
                </c:pt>
                <c:pt idx="59" formatCode="0.00">
                  <c:v>825447.67525629466</c:v>
                </c:pt>
                <c:pt idx="60" formatCode="0.00">
                  <c:v>824544.76957449305</c:v>
                </c:pt>
                <c:pt idx="61" formatCode="0.00">
                  <c:v>740643.30581299611</c:v>
                </c:pt>
                <c:pt idx="62" formatCode="0.00">
                  <c:v>788329.94875488093</c:v>
                </c:pt>
                <c:pt idx="63" formatCode="0.00">
                  <c:v>802905.75547964929</c:v>
                </c:pt>
                <c:pt idx="64" formatCode="0.00">
                  <c:v>807377.56270683196</c:v>
                </c:pt>
                <c:pt idx="65" formatCode="0.00">
                  <c:v>829695.50834530813</c:v>
                </c:pt>
                <c:pt idx="66" formatCode="0.00">
                  <c:v>766740.96969080088</c:v>
                </c:pt>
                <c:pt idx="67" formatCode="0.00">
                  <c:v>809682.82310749521</c:v>
                </c:pt>
                <c:pt idx="68" formatCode="0.00">
                  <c:v>810527.24801993521</c:v>
                </c:pt>
                <c:pt idx="69" formatCode="0.00">
                  <c:v>786921.5199187916</c:v>
                </c:pt>
                <c:pt idx="70" formatCode="0.00">
                  <c:v>791086.22741859243</c:v>
                </c:pt>
                <c:pt idx="71" formatCode="0.00">
                  <c:v>797759.76925789262</c:v>
                </c:pt>
                <c:pt idx="72" formatCode="0.00">
                  <c:v>816033.03069138806</c:v>
                </c:pt>
                <c:pt idx="73" formatCode="0.00">
                  <c:v>829571.20403642277</c:v>
                </c:pt>
                <c:pt idx="74" formatCode="0.00">
                  <c:v>818456.15187613107</c:v>
                </c:pt>
                <c:pt idx="75" formatCode="0.00">
                  <c:v>741344.65079319582</c:v>
                </c:pt>
                <c:pt idx="76" formatCode="0.00">
                  <c:v>640291.46759155998</c:v>
                </c:pt>
                <c:pt idx="77" formatCode="0.00">
                  <c:v>710649.93302635418</c:v>
                </c:pt>
                <c:pt idx="78" formatCode="0.00">
                  <c:v>733531.94190628116</c:v>
                </c:pt>
                <c:pt idx="79" formatCode="0.00">
                  <c:v>737509.59411274036</c:v>
                </c:pt>
                <c:pt idx="80" formatCode="0.00">
                  <c:v>767876.81945336098</c:v>
                </c:pt>
                <c:pt idx="81" formatCode="0.00">
                  <c:v>811931.94347105257</c:v>
                </c:pt>
                <c:pt idx="82" formatCode="0.00">
                  <c:v>770350.8634298133</c:v>
                </c:pt>
                <c:pt idx="83" formatCode="0.00">
                  <c:v>737200.40824382007</c:v>
                </c:pt>
                <c:pt idx="84" formatCode="0.00">
                  <c:v>806439.68583132105</c:v>
                </c:pt>
                <c:pt idx="85" formatCode="0.00">
                  <c:v>826617.3812837617</c:v>
                </c:pt>
                <c:pt idx="86" formatCode="0.00">
                  <c:v>807662.64488105499</c:v>
                </c:pt>
                <c:pt idx="87" formatCode="0.00">
                  <c:v>819007.17211439169</c:v>
                </c:pt>
                <c:pt idx="88" formatCode="0.00">
                  <c:v>843924.14124194684</c:v>
                </c:pt>
                <c:pt idx="89" formatCode="0.00">
                  <c:v>878080.5456860601</c:v>
                </c:pt>
                <c:pt idx="90" formatCode="0.00">
                  <c:v>873609.91894055926</c:v>
                </c:pt>
                <c:pt idx="91" formatCode="0.00">
                  <c:v>883049.19227776048</c:v>
                </c:pt>
                <c:pt idx="92" formatCode="0.00">
                  <c:v>892990.07979010639</c:v>
                </c:pt>
                <c:pt idx="93" formatCode="0.00">
                  <c:v>909029.42281543545</c:v>
                </c:pt>
                <c:pt idx="94" formatCode="0.00">
                  <c:v>856536.97237983893</c:v>
                </c:pt>
                <c:pt idx="95" formatCode="0.00">
                  <c:v>905179.15040553291</c:v>
                </c:pt>
                <c:pt idx="96" formatCode="0.00">
                  <c:v>888421.12644193927</c:v>
                </c:pt>
                <c:pt idx="97" formatCode="0.00">
                  <c:v>917566.21067134128</c:v>
                </c:pt>
                <c:pt idx="98" formatCode="0.00">
                  <c:v>860282.11883982434</c:v>
                </c:pt>
                <c:pt idx="99" formatCode="0.00">
                  <c:v>824462.88544918504</c:v>
                </c:pt>
                <c:pt idx="100" formatCode="0.00">
                  <c:v>843836.26303151506</c:v>
                </c:pt>
                <c:pt idx="101" formatCode="0.00">
                  <c:v>760657.45367448579</c:v>
                </c:pt>
                <c:pt idx="102" formatCode="0.00">
                  <c:v>751323.28630043624</c:v>
                </c:pt>
                <c:pt idx="103" formatCode="0.00">
                  <c:v>680128.20576004975</c:v>
                </c:pt>
                <c:pt idx="104" formatCode="0.00">
                  <c:v>731341.24107443995</c:v>
                </c:pt>
                <c:pt idx="105" formatCode="0.00">
                  <c:v>691390.55748494319</c:v>
                </c:pt>
                <c:pt idx="106" formatCode="0.00">
                  <c:v>618260.01636616152</c:v>
                </c:pt>
                <c:pt idx="107" formatCode="0.00">
                  <c:v>657359.51484292257</c:v>
                </c:pt>
                <c:pt idx="108" formatCode="0.00">
                  <c:v>683273.57972048002</c:v>
                </c:pt>
                <c:pt idx="109" formatCode="0.00">
                  <c:v>634272.24403519277</c:v>
                </c:pt>
                <c:pt idx="110" formatCode="0.00">
                  <c:v>663176.57144340384</c:v>
                </c:pt>
                <c:pt idx="111" formatCode="0.00">
                  <c:v>636636.33236699004</c:v>
                </c:pt>
                <c:pt idx="112" formatCode="0.00">
                  <c:v>649107.49120444001</c:v>
                </c:pt>
                <c:pt idx="113" formatCode="0.00">
                  <c:v>648447.26303495013</c:v>
                </c:pt>
                <c:pt idx="114" formatCode="0.00">
                  <c:v>640501.74185645103</c:v>
                </c:pt>
                <c:pt idx="115" formatCode="0.00">
                  <c:v>671629.13080889429</c:v>
                </c:pt>
                <c:pt idx="116" formatCode="0.00">
                  <c:v>682373.288548187</c:v>
                </c:pt>
                <c:pt idx="117" formatCode="0.00">
                  <c:v>661149.27507181151</c:v>
                </c:pt>
                <c:pt idx="118" formatCode="0.00">
                  <c:v>619833.55909213994</c:v>
                </c:pt>
                <c:pt idx="119" formatCode="0.00">
                  <c:v>596776.63828732818</c:v>
                </c:pt>
                <c:pt idx="120" formatCode="0.00">
                  <c:v>639844.30108257686</c:v>
                </c:pt>
                <c:pt idx="121" formatCode="0.00">
                  <c:v>657882.20022778527</c:v>
                </c:pt>
                <c:pt idx="122" formatCode="0.00">
                  <c:v>658258.5101911251</c:v>
                </c:pt>
                <c:pt idx="123" formatCode="0.00">
                  <c:v>682420.08347064734</c:v>
                </c:pt>
                <c:pt idx="124" formatCode="0.00">
                  <c:v>693682.99321219081</c:v>
                </c:pt>
                <c:pt idx="125" formatCode="0.00">
                  <c:v>655263.94032533874</c:v>
                </c:pt>
                <c:pt idx="126" formatCode="0.00">
                  <c:v>676612.25403477589</c:v>
                </c:pt>
                <c:pt idx="127" formatCode="0.00">
                  <c:v>689815.56761442684</c:v>
                </c:pt>
                <c:pt idx="128" formatCode="0.00">
                  <c:v>687725.41975198779</c:v>
                </c:pt>
                <c:pt idx="129" formatCode="0.00">
                  <c:v>693558.22100208804</c:v>
                </c:pt>
                <c:pt idx="130" formatCode="0.00">
                  <c:v>697619.71688804263</c:v>
                </c:pt>
                <c:pt idx="131" formatCode="0.00">
                  <c:v>680798.29968999373</c:v>
                </c:pt>
                <c:pt idx="132" formatCode="0.00">
                  <c:v>709755.84966954892</c:v>
                </c:pt>
                <c:pt idx="133" formatCode="0.00">
                  <c:v>682484.11554941407</c:v>
                </c:pt>
              </c:numCache>
            </c:numRef>
          </c:val>
          <c:smooth val="0"/>
          <c:extLst>
            <c:ext xmlns:c16="http://schemas.microsoft.com/office/drawing/2014/chart" uri="{C3380CC4-5D6E-409C-BE32-E72D297353CC}">
              <c16:uniqueId val="{00000002-BD08-483A-984E-B94B057BB1DE}"/>
            </c:ext>
          </c:extLst>
        </c:ser>
        <c:ser>
          <c:idx val="3"/>
          <c:order val="3"/>
          <c:tx>
            <c:strRef>
              <c:f>Investment!$K$7</c:f>
              <c:strCache>
                <c:ptCount val="1"/>
                <c:pt idx="0">
                  <c:v>Total</c:v>
                </c:pt>
              </c:strCache>
            </c:strRef>
          </c:tx>
          <c:spPr>
            <a:ln w="28575" cap="rnd">
              <a:solidFill>
                <a:schemeClr val="accent1">
                  <a:lumMod val="60000"/>
                </a:schemeClr>
              </a:solidFill>
              <a:round/>
            </a:ln>
            <a:effectLst/>
          </c:spPr>
          <c:marker>
            <c:symbol val="none"/>
          </c:marker>
          <c:cat>
            <c:strRef>
              <c:f>Investment!$A$8:$A$141</c:f>
              <c:strCache>
                <c:ptCount val="134"/>
                <c:pt idx="0">
                  <c:v>Date</c:v>
                </c:pt>
                <c:pt idx="1">
                  <c:v>Initial Inv</c:v>
                </c:pt>
                <c:pt idx="2">
                  <c:v>1/31/2014</c:v>
                </c:pt>
                <c:pt idx="3">
                  <c:v>2/28/2014</c:v>
                </c:pt>
                <c:pt idx="4">
                  <c:v>3/31/2014</c:v>
                </c:pt>
                <c:pt idx="5">
                  <c:v>4/30/2014</c:v>
                </c:pt>
                <c:pt idx="6">
                  <c:v>5/30/2014</c:v>
                </c:pt>
                <c:pt idx="7">
                  <c:v>6/30/2014</c:v>
                </c:pt>
                <c:pt idx="8">
                  <c:v>7/31/2014</c:v>
                </c:pt>
                <c:pt idx="9">
                  <c:v>8/29/2014</c:v>
                </c:pt>
                <c:pt idx="10">
                  <c:v>9/30/2014</c:v>
                </c:pt>
                <c:pt idx="11">
                  <c:v>10/31/2014</c:v>
                </c:pt>
                <c:pt idx="12">
                  <c:v>11/28/2014</c:v>
                </c:pt>
                <c:pt idx="13">
                  <c:v>12/31/2014</c:v>
                </c:pt>
                <c:pt idx="14">
                  <c:v>1/30/2015</c:v>
                </c:pt>
                <c:pt idx="15">
                  <c:v>2/27/2015</c:v>
                </c:pt>
                <c:pt idx="16">
                  <c:v>3/31/2015</c:v>
                </c:pt>
                <c:pt idx="17">
                  <c:v>4/30/2015</c:v>
                </c:pt>
                <c:pt idx="18">
                  <c:v>5/29/2015</c:v>
                </c:pt>
                <c:pt idx="19">
                  <c:v>6/30/2015</c:v>
                </c:pt>
                <c:pt idx="20">
                  <c:v>7/31/2015</c:v>
                </c:pt>
                <c:pt idx="21">
                  <c:v>8/31/2015</c:v>
                </c:pt>
                <c:pt idx="22">
                  <c:v>9/30/2015</c:v>
                </c:pt>
                <c:pt idx="23">
                  <c:v>10/30/2015</c:v>
                </c:pt>
                <c:pt idx="24">
                  <c:v>11/30/2015</c:v>
                </c:pt>
                <c:pt idx="25">
                  <c:v>12/31/2015</c:v>
                </c:pt>
                <c:pt idx="26">
                  <c:v>1/29/2016</c:v>
                </c:pt>
                <c:pt idx="27">
                  <c:v>2/29/2016</c:v>
                </c:pt>
                <c:pt idx="28">
                  <c:v>3/31/2016</c:v>
                </c:pt>
                <c:pt idx="29">
                  <c:v>4/29/2016</c:v>
                </c:pt>
                <c:pt idx="30">
                  <c:v>5/31/2016</c:v>
                </c:pt>
                <c:pt idx="31">
                  <c:v>6/30/2016</c:v>
                </c:pt>
                <c:pt idx="32">
                  <c:v>7/29/2016</c:v>
                </c:pt>
                <c:pt idx="33">
                  <c:v>8/31/2016</c:v>
                </c:pt>
                <c:pt idx="34">
                  <c:v>9/30/2016</c:v>
                </c:pt>
                <c:pt idx="35">
                  <c:v>10/31/2016</c:v>
                </c:pt>
                <c:pt idx="36">
                  <c:v>11/30/2016</c:v>
                </c:pt>
                <c:pt idx="37">
                  <c:v>12/30/2016</c:v>
                </c:pt>
                <c:pt idx="38">
                  <c:v>1/31/2017</c:v>
                </c:pt>
                <c:pt idx="39">
                  <c:v>2/28/2017</c:v>
                </c:pt>
                <c:pt idx="40">
                  <c:v>3/31/2017</c:v>
                </c:pt>
                <c:pt idx="41">
                  <c:v>4/28/2017</c:v>
                </c:pt>
                <c:pt idx="42">
                  <c:v>5/31/2017</c:v>
                </c:pt>
                <c:pt idx="43">
                  <c:v>6/30/2017</c:v>
                </c:pt>
                <c:pt idx="44">
                  <c:v>7/31/2017</c:v>
                </c:pt>
                <c:pt idx="45">
                  <c:v>8/31/2017</c:v>
                </c:pt>
                <c:pt idx="46">
                  <c:v>9/29/2017</c:v>
                </c:pt>
                <c:pt idx="47">
                  <c:v>10/31/2017</c:v>
                </c:pt>
                <c:pt idx="48">
                  <c:v>11/30/2017</c:v>
                </c:pt>
                <c:pt idx="49">
                  <c:v>12/29/2017</c:v>
                </c:pt>
                <c:pt idx="50">
                  <c:v>1/31/2018</c:v>
                </c:pt>
                <c:pt idx="51">
                  <c:v>2/28/2018</c:v>
                </c:pt>
                <c:pt idx="52">
                  <c:v>3/29/2018</c:v>
                </c:pt>
                <c:pt idx="53">
                  <c:v>4/30/2018</c:v>
                </c:pt>
                <c:pt idx="54">
                  <c:v>5/31/2018</c:v>
                </c:pt>
                <c:pt idx="55">
                  <c:v>6/29/2018</c:v>
                </c:pt>
                <c:pt idx="56">
                  <c:v>7/31/2018</c:v>
                </c:pt>
                <c:pt idx="57">
                  <c:v>8/31/2018</c:v>
                </c:pt>
                <c:pt idx="58">
                  <c:v>9/28/2018</c:v>
                </c:pt>
                <c:pt idx="59">
                  <c:v>10/31/2018</c:v>
                </c:pt>
                <c:pt idx="60">
                  <c:v>11/30/2018</c:v>
                </c:pt>
                <c:pt idx="61">
                  <c:v>12/31/2018</c:v>
                </c:pt>
                <c:pt idx="62">
                  <c:v>1/31/2019</c:v>
                </c:pt>
                <c:pt idx="63">
                  <c:v>2/28/2019</c:v>
                </c:pt>
                <c:pt idx="64">
                  <c:v>3/29/2019</c:v>
                </c:pt>
                <c:pt idx="65">
                  <c:v>4/30/2019</c:v>
                </c:pt>
                <c:pt idx="66">
                  <c:v>5/31/2019</c:v>
                </c:pt>
                <c:pt idx="67">
                  <c:v>6/28/2019</c:v>
                </c:pt>
                <c:pt idx="68">
                  <c:v>7/31/2019</c:v>
                </c:pt>
                <c:pt idx="69">
                  <c:v>8/30/2019</c:v>
                </c:pt>
                <c:pt idx="70">
                  <c:v>9/30/2019</c:v>
                </c:pt>
                <c:pt idx="71">
                  <c:v>10/31/2019</c:v>
                </c:pt>
                <c:pt idx="72">
                  <c:v>11/29/2019</c:v>
                </c:pt>
                <c:pt idx="73">
                  <c:v>12/31/2019</c:v>
                </c:pt>
                <c:pt idx="74">
                  <c:v>1/31/2020</c:v>
                </c:pt>
                <c:pt idx="75">
                  <c:v>2/28/2020</c:v>
                </c:pt>
                <c:pt idx="76">
                  <c:v>3/31/2020</c:v>
                </c:pt>
                <c:pt idx="77">
                  <c:v>4/30/2020</c:v>
                </c:pt>
                <c:pt idx="78">
                  <c:v>5/29/2020</c:v>
                </c:pt>
                <c:pt idx="79">
                  <c:v>6/30/2020</c:v>
                </c:pt>
                <c:pt idx="80">
                  <c:v>7/31/2020</c:v>
                </c:pt>
                <c:pt idx="81">
                  <c:v>8/31/2020</c:v>
                </c:pt>
                <c:pt idx="82">
                  <c:v>9/30/2020</c:v>
                </c:pt>
                <c:pt idx="83">
                  <c:v>10/30/2020</c:v>
                </c:pt>
                <c:pt idx="84">
                  <c:v>11/30/2020</c:v>
                </c:pt>
                <c:pt idx="85">
                  <c:v>12/31/2020</c:v>
                </c:pt>
                <c:pt idx="86">
                  <c:v>1/29/2021</c:v>
                </c:pt>
                <c:pt idx="87">
                  <c:v>2/26/2021</c:v>
                </c:pt>
                <c:pt idx="88">
                  <c:v>3/31/2021</c:v>
                </c:pt>
                <c:pt idx="89">
                  <c:v>4/30/2021</c:v>
                </c:pt>
                <c:pt idx="90">
                  <c:v>5/28/2021</c:v>
                </c:pt>
                <c:pt idx="91">
                  <c:v>6/30/2021</c:v>
                </c:pt>
                <c:pt idx="92">
                  <c:v>7/30/2021</c:v>
                </c:pt>
                <c:pt idx="93">
                  <c:v>8/31/2021</c:v>
                </c:pt>
                <c:pt idx="94">
                  <c:v>9/30/2021</c:v>
                </c:pt>
                <c:pt idx="95">
                  <c:v>10/29/2021</c:v>
                </c:pt>
                <c:pt idx="96">
                  <c:v>11/30/2021</c:v>
                </c:pt>
                <c:pt idx="97">
                  <c:v>12/31/2021</c:v>
                </c:pt>
                <c:pt idx="98">
                  <c:v>1/31/2022</c:v>
                </c:pt>
                <c:pt idx="99">
                  <c:v>2/28/2022</c:v>
                </c:pt>
                <c:pt idx="100">
                  <c:v>3/31/2022</c:v>
                </c:pt>
                <c:pt idx="101">
                  <c:v>4/29/2022</c:v>
                </c:pt>
                <c:pt idx="102">
                  <c:v>5/31/2022</c:v>
                </c:pt>
                <c:pt idx="103">
                  <c:v>6/30/2022</c:v>
                </c:pt>
                <c:pt idx="104">
                  <c:v>7/29/2022</c:v>
                </c:pt>
                <c:pt idx="105">
                  <c:v>8/31/2022</c:v>
                </c:pt>
                <c:pt idx="106">
                  <c:v>9/30/2022</c:v>
                </c:pt>
                <c:pt idx="107">
                  <c:v>10/31/2022</c:v>
                </c:pt>
                <c:pt idx="108">
                  <c:v>11/30/2022</c:v>
                </c:pt>
                <c:pt idx="109">
                  <c:v>12/30/2022</c:v>
                </c:pt>
                <c:pt idx="110">
                  <c:v>1/31/2023</c:v>
                </c:pt>
                <c:pt idx="111">
                  <c:v>2/28/2023</c:v>
                </c:pt>
                <c:pt idx="112">
                  <c:v>3/31/2023</c:v>
                </c:pt>
                <c:pt idx="113">
                  <c:v>4/28/2023</c:v>
                </c:pt>
                <c:pt idx="114">
                  <c:v>5/31/2023</c:v>
                </c:pt>
                <c:pt idx="115">
                  <c:v>6/30/2023</c:v>
                </c:pt>
                <c:pt idx="116">
                  <c:v>7/31/2023</c:v>
                </c:pt>
                <c:pt idx="117">
                  <c:v>8/31/2023</c:v>
                </c:pt>
                <c:pt idx="118">
                  <c:v>9/29/2023</c:v>
                </c:pt>
                <c:pt idx="119">
                  <c:v>10/31/2023</c:v>
                </c:pt>
                <c:pt idx="120">
                  <c:v>11/30/2023</c:v>
                </c:pt>
                <c:pt idx="121">
                  <c:v>12/29/2023</c:v>
                </c:pt>
                <c:pt idx="122">
                  <c:v>1/31/2024</c:v>
                </c:pt>
                <c:pt idx="123">
                  <c:v>2/29/2024</c:v>
                </c:pt>
                <c:pt idx="124">
                  <c:v>3/28/2024</c:v>
                </c:pt>
                <c:pt idx="125">
                  <c:v>4/30/2024</c:v>
                </c:pt>
                <c:pt idx="126">
                  <c:v>5/31/2024</c:v>
                </c:pt>
                <c:pt idx="127">
                  <c:v>6/28/2024</c:v>
                </c:pt>
                <c:pt idx="128">
                  <c:v>7/31/2024</c:v>
                </c:pt>
                <c:pt idx="129">
                  <c:v>8/30/2024</c:v>
                </c:pt>
                <c:pt idx="130">
                  <c:v>9/30/2024</c:v>
                </c:pt>
                <c:pt idx="131">
                  <c:v>10/31/2024</c:v>
                </c:pt>
                <c:pt idx="132">
                  <c:v>11/29/2024</c:v>
                </c:pt>
                <c:pt idx="133">
                  <c:v>12/31/2024</c:v>
                </c:pt>
              </c:strCache>
            </c:strRef>
          </c:cat>
          <c:val>
            <c:numRef>
              <c:f>Investment!$K$8:$K$141</c:f>
              <c:numCache>
                <c:formatCode>General</c:formatCode>
                <c:ptCount val="134"/>
                <c:pt idx="0">
                  <c:v>0</c:v>
                </c:pt>
                <c:pt idx="1">
                  <c:v>1000000</c:v>
                </c:pt>
                <c:pt idx="2">
                  <c:v>957867.24786324776</c:v>
                </c:pt>
                <c:pt idx="3">
                  <c:v>996087.015714793</c:v>
                </c:pt>
                <c:pt idx="4">
                  <c:v>977565.44825709052</c:v>
                </c:pt>
                <c:pt idx="5">
                  <c:v>967111.74406214303</c:v>
                </c:pt>
                <c:pt idx="6">
                  <c:v>982113.78340296331</c:v>
                </c:pt>
                <c:pt idx="7">
                  <c:v>990449.00487463549</c:v>
                </c:pt>
                <c:pt idx="8">
                  <c:v>963650.95383000968</c:v>
                </c:pt>
                <c:pt idx="9">
                  <c:v>994945.14418183244</c:v>
                </c:pt>
                <c:pt idx="10">
                  <c:v>961194.16309718427</c:v>
                </c:pt>
                <c:pt idx="11">
                  <c:v>973060.79155259929</c:v>
                </c:pt>
                <c:pt idx="12">
                  <c:v>981450.29426500306</c:v>
                </c:pt>
                <c:pt idx="13">
                  <c:v>966023.29045610502</c:v>
                </c:pt>
                <c:pt idx="14">
                  <c:v>934303.26359355892</c:v>
                </c:pt>
                <c:pt idx="15">
                  <c:v>984646.1291630168</c:v>
                </c:pt>
                <c:pt idx="16">
                  <c:v>962305.12663165189</c:v>
                </c:pt>
                <c:pt idx="17">
                  <c:v>956876.1956044049</c:v>
                </c:pt>
                <c:pt idx="18">
                  <c:v>964971.79092923831</c:v>
                </c:pt>
                <c:pt idx="19">
                  <c:v>936661.86800785037</c:v>
                </c:pt>
                <c:pt idx="20">
                  <c:v>942695.51463092165</c:v>
                </c:pt>
                <c:pt idx="21">
                  <c:v>873620.7538878296</c:v>
                </c:pt>
                <c:pt idx="22">
                  <c:v>840369.40804965422</c:v>
                </c:pt>
                <c:pt idx="23">
                  <c:v>896290.05877176649</c:v>
                </c:pt>
                <c:pt idx="24">
                  <c:v>888595.186369929</c:v>
                </c:pt>
                <c:pt idx="25">
                  <c:v>864504.28448526387</c:v>
                </c:pt>
                <c:pt idx="26">
                  <c:v>801837.42393417237</c:v>
                </c:pt>
                <c:pt idx="27">
                  <c:v>788663.8065039994</c:v>
                </c:pt>
                <c:pt idx="28">
                  <c:v>827896.54171770287</c:v>
                </c:pt>
                <c:pt idx="29">
                  <c:v>822511.84088802827</c:v>
                </c:pt>
                <c:pt idx="30">
                  <c:v>825437.10895406012</c:v>
                </c:pt>
                <c:pt idx="31">
                  <c:v>810311.1847579889</c:v>
                </c:pt>
                <c:pt idx="32">
                  <c:v>836162.62288939836</c:v>
                </c:pt>
                <c:pt idx="33">
                  <c:v>826644.51645525917</c:v>
                </c:pt>
                <c:pt idx="34">
                  <c:v>816127.48469427787</c:v>
                </c:pt>
                <c:pt idx="35">
                  <c:v>785849.85820690263</c:v>
                </c:pt>
                <c:pt idx="36">
                  <c:v>795607.35416669899</c:v>
                </c:pt>
                <c:pt idx="37">
                  <c:v>795086.47728585498</c:v>
                </c:pt>
                <c:pt idx="38">
                  <c:v>803206.73729683389</c:v>
                </c:pt>
                <c:pt idx="39">
                  <c:v>818988.9446279211</c:v>
                </c:pt>
                <c:pt idx="40">
                  <c:v>812946.65328679141</c:v>
                </c:pt>
                <c:pt idx="41">
                  <c:v>815610.60032359615</c:v>
                </c:pt>
                <c:pt idx="42">
                  <c:v>818103.09948213492</c:v>
                </c:pt>
                <c:pt idx="43">
                  <c:v>810916.07739002188</c:v>
                </c:pt>
                <c:pt idx="44">
                  <c:v>815021.18024810613</c:v>
                </c:pt>
                <c:pt idx="45">
                  <c:v>808931.34601928713</c:v>
                </c:pt>
                <c:pt idx="46">
                  <c:v>817662.64237447595</c:v>
                </c:pt>
                <c:pt idx="47">
                  <c:v>827775.91223355616</c:v>
                </c:pt>
                <c:pt idx="48">
                  <c:v>847249.45711549744</c:v>
                </c:pt>
                <c:pt idx="49">
                  <c:v>843337.45974906941</c:v>
                </c:pt>
                <c:pt idx="50">
                  <c:v>880880.74677132291</c:v>
                </c:pt>
                <c:pt idx="51">
                  <c:v>842029.30365866562</c:v>
                </c:pt>
                <c:pt idx="52">
                  <c:v>808359.59367243573</c:v>
                </c:pt>
                <c:pt idx="53">
                  <c:v>800033.77627713187</c:v>
                </c:pt>
                <c:pt idx="54">
                  <c:v>813257.28064233123</c:v>
                </c:pt>
                <c:pt idx="55">
                  <c:v>803946.76607045205</c:v>
                </c:pt>
                <c:pt idx="56">
                  <c:v>818777.7459149441</c:v>
                </c:pt>
                <c:pt idx="57">
                  <c:v>839119.09456499596</c:v>
                </c:pt>
                <c:pt idx="58">
                  <c:v>832007.73662404204</c:v>
                </c:pt>
                <c:pt idx="59">
                  <c:v>752173.2011366178</c:v>
                </c:pt>
                <c:pt idx="60">
                  <c:v>752383.45067684236</c:v>
                </c:pt>
                <c:pt idx="61">
                  <c:v>671957.01061958726</c:v>
                </c:pt>
                <c:pt idx="62">
                  <c:v>716483.02881986066</c:v>
                </c:pt>
                <c:pt idx="63">
                  <c:v>728972.48541175365</c:v>
                </c:pt>
                <c:pt idx="64">
                  <c:v>730584.91739667789</c:v>
                </c:pt>
                <c:pt idx="65">
                  <c:v>750662.41940053226</c:v>
                </c:pt>
                <c:pt idx="66">
                  <c:v>693767.70396579581</c:v>
                </c:pt>
                <c:pt idx="67">
                  <c:v>730368.66581362602</c:v>
                </c:pt>
                <c:pt idx="68">
                  <c:v>729683.83802827587</c:v>
                </c:pt>
                <c:pt idx="69">
                  <c:v>709726.48119655298</c:v>
                </c:pt>
                <c:pt idx="70">
                  <c:v>703061.36087234959</c:v>
                </c:pt>
                <c:pt idx="71">
                  <c:v>705633.4901549276</c:v>
                </c:pt>
                <c:pt idx="72">
                  <c:v>725404.36629232997</c:v>
                </c:pt>
                <c:pt idx="73">
                  <c:v>734976.14800160308</c:v>
                </c:pt>
                <c:pt idx="74">
                  <c:v>728194.79093933583</c:v>
                </c:pt>
                <c:pt idx="75">
                  <c:v>658851.30648940813</c:v>
                </c:pt>
                <c:pt idx="76">
                  <c:v>569761.72976228734</c:v>
                </c:pt>
                <c:pt idx="77">
                  <c:v>636469.138274219</c:v>
                </c:pt>
                <c:pt idx="78">
                  <c:v>662157.22568590404</c:v>
                </c:pt>
                <c:pt idx="79">
                  <c:v>668895.96250044345</c:v>
                </c:pt>
                <c:pt idx="80">
                  <c:v>697528.8885099194</c:v>
                </c:pt>
                <c:pt idx="81">
                  <c:v>748133.41897046578</c:v>
                </c:pt>
                <c:pt idx="82">
                  <c:v>712336.92849818943</c:v>
                </c:pt>
                <c:pt idx="83">
                  <c:v>676724.42916018097</c:v>
                </c:pt>
                <c:pt idx="84">
                  <c:v>741686.21336239809</c:v>
                </c:pt>
                <c:pt idx="85">
                  <c:v>764085.01823743712</c:v>
                </c:pt>
                <c:pt idx="86">
                  <c:v>743683.94258611766</c:v>
                </c:pt>
                <c:pt idx="87">
                  <c:v>752202.97474836372</c:v>
                </c:pt>
                <c:pt idx="88">
                  <c:v>763918.07981140574</c:v>
                </c:pt>
                <c:pt idx="89">
                  <c:v>798328.4580089394</c:v>
                </c:pt>
                <c:pt idx="90">
                  <c:v>785938.04795301543</c:v>
                </c:pt>
                <c:pt idx="91">
                  <c:v>800660.94672625442</c:v>
                </c:pt>
                <c:pt idx="92">
                  <c:v>808498.51881816518</c:v>
                </c:pt>
                <c:pt idx="93">
                  <c:v>825411.25497914641</c:v>
                </c:pt>
                <c:pt idx="94">
                  <c:v>773787.26423751866</c:v>
                </c:pt>
                <c:pt idx="95">
                  <c:v>812509.57633893262</c:v>
                </c:pt>
                <c:pt idx="96">
                  <c:v>790998.64046099596</c:v>
                </c:pt>
                <c:pt idx="97">
                  <c:v>806504.14326317539</c:v>
                </c:pt>
                <c:pt idx="98">
                  <c:v>744662.28335212893</c:v>
                </c:pt>
                <c:pt idx="99">
                  <c:v>706494.97075582575</c:v>
                </c:pt>
                <c:pt idx="100">
                  <c:v>721794.2279001018</c:v>
                </c:pt>
                <c:pt idx="101">
                  <c:v>641267.51189705241</c:v>
                </c:pt>
                <c:pt idx="102">
                  <c:v>626044.08481107489</c:v>
                </c:pt>
                <c:pt idx="103">
                  <c:v>563043.12012598466</c:v>
                </c:pt>
                <c:pt idx="104">
                  <c:v>604762.80176516972</c:v>
                </c:pt>
                <c:pt idx="105">
                  <c:v>566461.65425360249</c:v>
                </c:pt>
                <c:pt idx="106">
                  <c:v>505555.07566715358</c:v>
                </c:pt>
                <c:pt idx="107">
                  <c:v>532036.49521346635</c:v>
                </c:pt>
                <c:pt idx="108">
                  <c:v>549483.89704124699</c:v>
                </c:pt>
                <c:pt idx="109">
                  <c:v>503402.71148943005</c:v>
                </c:pt>
                <c:pt idx="110">
                  <c:v>529788.3419208111</c:v>
                </c:pt>
                <c:pt idx="111">
                  <c:v>507355.14925447974</c:v>
                </c:pt>
                <c:pt idx="112">
                  <c:v>522766.35764311149</c:v>
                </c:pt>
                <c:pt idx="113">
                  <c:v>523070.44293886598</c:v>
                </c:pt>
                <c:pt idx="114">
                  <c:v>529117.50955358264</c:v>
                </c:pt>
                <c:pt idx="115">
                  <c:v>553438.38149578858</c:v>
                </c:pt>
                <c:pt idx="116">
                  <c:v>558719.10145012429</c:v>
                </c:pt>
                <c:pt idx="117">
                  <c:v>543153.1051080313</c:v>
                </c:pt>
                <c:pt idx="118">
                  <c:v>504647.47662650538</c:v>
                </c:pt>
                <c:pt idx="119">
                  <c:v>486990.25789679633</c:v>
                </c:pt>
                <c:pt idx="120">
                  <c:v>525087.79656011274</c:v>
                </c:pt>
                <c:pt idx="121">
                  <c:v>537292.29995308537</c:v>
                </c:pt>
                <c:pt idx="122">
                  <c:v>540522.29331166821</c:v>
                </c:pt>
                <c:pt idx="123">
                  <c:v>565164.2186047897</c:v>
                </c:pt>
                <c:pt idx="124">
                  <c:v>572121.2389294547</c:v>
                </c:pt>
                <c:pt idx="125">
                  <c:v>536209.12884864851</c:v>
                </c:pt>
                <c:pt idx="126">
                  <c:v>558943.73212616448</c:v>
                </c:pt>
                <c:pt idx="127">
                  <c:v>580772.37257326883</c:v>
                </c:pt>
                <c:pt idx="128">
                  <c:v>563045.46916310862</c:v>
                </c:pt>
                <c:pt idx="129">
                  <c:v>565562.34753785608</c:v>
                </c:pt>
                <c:pt idx="130">
                  <c:v>567983.96893897571</c:v>
                </c:pt>
                <c:pt idx="131">
                  <c:v>558420.84162163234</c:v>
                </c:pt>
                <c:pt idx="132">
                  <c:v>581131.56374328665</c:v>
                </c:pt>
                <c:pt idx="133">
                  <c:v>560379.72502724919</c:v>
                </c:pt>
              </c:numCache>
            </c:numRef>
          </c:val>
          <c:smooth val="0"/>
          <c:extLst>
            <c:ext xmlns:c16="http://schemas.microsoft.com/office/drawing/2014/chart" uri="{C3380CC4-5D6E-409C-BE32-E72D297353CC}">
              <c16:uniqueId val="{00000003-BD08-483A-984E-B94B057BB1DE}"/>
            </c:ext>
          </c:extLst>
        </c:ser>
        <c:dLbls>
          <c:showLegendKey val="0"/>
          <c:showVal val="0"/>
          <c:showCatName val="0"/>
          <c:showSerName val="0"/>
          <c:showPercent val="0"/>
          <c:showBubbleSize val="0"/>
        </c:dLbls>
        <c:smooth val="0"/>
        <c:axId val="149122912"/>
        <c:axId val="149124352"/>
      </c:lineChart>
      <c:catAx>
        <c:axId val="1491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24352"/>
        <c:crosses val="autoZero"/>
        <c:auto val="1"/>
        <c:lblAlgn val="ctr"/>
        <c:lblOffset val="100"/>
        <c:noMultiLvlLbl val="0"/>
      </c:catAx>
      <c:valAx>
        <c:axId val="14912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4912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baseline="0">
                <a:solidFill>
                  <a:schemeClr val="tx2"/>
                </a:solidFill>
                <a:latin typeface="Calisto MT" panose="02040603050505030304" pitchFamily="18" charset="0"/>
                <a:ea typeface="+mn-ea"/>
                <a:cs typeface="+mn-cs"/>
              </a:defRPr>
            </a:pPr>
            <a:r>
              <a:rPr lang="en-US" sz="1400" b="0">
                <a:latin typeface="Calisto MT" panose="02040603050505030304" pitchFamily="18" charset="0"/>
              </a:rPr>
              <a:t>Sharpe Ratio 1998-2013</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Calisto MT" panose="02040603050505030304" pitchFamily="18" charset="0"/>
              <a:ea typeface="+mn-ea"/>
              <a:cs typeface="+mn-cs"/>
            </a:defRPr>
          </a:pPr>
          <a:endParaRPr lang="en-US"/>
        </a:p>
      </c:txPr>
    </c:title>
    <c:autoTitleDeleted val="0"/>
    <c:plotArea>
      <c:layout/>
      <c:barChart>
        <c:barDir val="col"/>
        <c:grouping val="clustered"/>
        <c:varyColors val="0"/>
        <c:ser>
          <c:idx val="0"/>
          <c:order val="0"/>
          <c:tx>
            <c:strRef>
              <c:f>'Sharpe+Treynor Ratio'!$F$2</c:f>
              <c:strCache>
                <c:ptCount val="1"/>
                <c:pt idx="0">
                  <c:v>Sharpe Ratio (Annually)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'Sharpe+Treynor Ratio'!$A$3:$A$5</c:f>
              <c:strCache>
                <c:ptCount val="3"/>
                <c:pt idx="0">
                  <c:v>FGINX</c:v>
                </c:pt>
                <c:pt idx="1">
                  <c:v>PGWCX</c:v>
                </c:pt>
                <c:pt idx="2">
                  <c:v>SPFIX</c:v>
                </c:pt>
              </c:strCache>
            </c:strRef>
          </c:cat>
          <c:val>
            <c:numRef>
              <c:f>'Sharpe+Treynor Ratio'!$F$3:$F$5</c:f>
              <c:numCache>
                <c:formatCode>General</c:formatCode>
                <c:ptCount val="3"/>
                <c:pt idx="0">
                  <c:v>0.31421600074630163</c:v>
                </c:pt>
                <c:pt idx="1">
                  <c:v>0.24533049152877265</c:v>
                </c:pt>
                <c:pt idx="2">
                  <c:v>0.30221087646259215</c:v>
                </c:pt>
              </c:numCache>
            </c:numRef>
          </c:val>
          <c:extLst>
            <c:ext xmlns:c16="http://schemas.microsoft.com/office/drawing/2014/chart" uri="{C3380CC4-5D6E-409C-BE32-E72D297353CC}">
              <c16:uniqueId val="{00000000-8EDC-4BED-9A76-60305C3D9D69}"/>
            </c:ext>
          </c:extLst>
        </c:ser>
        <c:dLbls>
          <c:showLegendKey val="0"/>
          <c:showVal val="0"/>
          <c:showCatName val="0"/>
          <c:showSerName val="0"/>
          <c:showPercent val="0"/>
          <c:showBubbleSize val="0"/>
        </c:dLbls>
        <c:gapWidth val="100"/>
        <c:overlap val="-24"/>
        <c:axId val="1865387920"/>
        <c:axId val="1865394640"/>
      </c:barChart>
      <c:catAx>
        <c:axId val="18653879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Calisto MT" panose="02040603050505030304" pitchFamily="18" charset="0"/>
                <a:ea typeface="+mn-ea"/>
                <a:cs typeface="+mn-cs"/>
              </a:defRPr>
            </a:pPr>
            <a:endParaRPr lang="en-US"/>
          </a:p>
        </c:txPr>
        <c:crossAx val="1865394640"/>
        <c:crosses val="autoZero"/>
        <c:auto val="1"/>
        <c:lblAlgn val="ctr"/>
        <c:lblOffset val="100"/>
        <c:noMultiLvlLbl val="0"/>
      </c:catAx>
      <c:valAx>
        <c:axId val="18653946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Calisto MT" panose="02040603050505030304" pitchFamily="18" charset="0"/>
                <a:ea typeface="+mn-ea"/>
                <a:cs typeface="+mn-cs"/>
              </a:defRPr>
            </a:pPr>
            <a:endParaRPr lang="en-US"/>
          </a:p>
        </c:txPr>
        <c:crossAx val="1865387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baseline="0">
                <a:solidFill>
                  <a:schemeClr val="tx2"/>
                </a:solidFill>
                <a:latin typeface="Calisto MT" panose="02040603050505030304" pitchFamily="18" charset="0"/>
                <a:ea typeface="+mn-ea"/>
                <a:cs typeface="+mn-cs"/>
              </a:defRPr>
            </a:pPr>
            <a:r>
              <a:rPr lang="en-US" sz="1400" b="0">
                <a:latin typeface="Calisto MT" panose="02040603050505030304" pitchFamily="18" charset="0"/>
              </a:rPr>
              <a:t>Treynor Ratio 1998-2013</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Calisto MT" panose="02040603050505030304" pitchFamily="18" charset="0"/>
              <a:ea typeface="+mn-ea"/>
              <a:cs typeface="+mn-cs"/>
            </a:defRPr>
          </a:pPr>
          <a:endParaRPr lang="en-US"/>
        </a:p>
      </c:txPr>
    </c:title>
    <c:autoTitleDeleted val="0"/>
    <c:plotArea>
      <c:layout/>
      <c:barChart>
        <c:barDir val="col"/>
        <c:grouping val="clustered"/>
        <c:varyColors val="0"/>
        <c:ser>
          <c:idx val="0"/>
          <c:order val="0"/>
          <c:tx>
            <c:strRef>
              <c:f>'Sharpe+Treynor Ratio'!$F$14</c:f>
              <c:strCache>
                <c:ptCount val="1"/>
                <c:pt idx="0">
                  <c:v>Treynor Ratio (Annually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'Sharpe+Treynor Ratio'!$A$15:$A$17</c:f>
              <c:strCache>
                <c:ptCount val="3"/>
                <c:pt idx="0">
                  <c:v>FGINX</c:v>
                </c:pt>
                <c:pt idx="1">
                  <c:v>PGWCX</c:v>
                </c:pt>
                <c:pt idx="2">
                  <c:v>SPFIX</c:v>
                </c:pt>
              </c:strCache>
            </c:strRef>
          </c:cat>
          <c:val>
            <c:numRef>
              <c:f>'Sharpe+Treynor Ratio'!$F$15:$F$17</c:f>
              <c:numCache>
                <c:formatCode>General</c:formatCode>
                <c:ptCount val="3"/>
                <c:pt idx="0">
                  <c:v>5.3517176205405845E-2</c:v>
                </c:pt>
                <c:pt idx="1">
                  <c:v>4.3764700845063939E-2</c:v>
                </c:pt>
                <c:pt idx="2">
                  <c:v>5.0693217346782241E-2</c:v>
                </c:pt>
              </c:numCache>
            </c:numRef>
          </c:val>
          <c:extLst>
            <c:ext xmlns:c16="http://schemas.microsoft.com/office/drawing/2014/chart" uri="{C3380CC4-5D6E-409C-BE32-E72D297353CC}">
              <c16:uniqueId val="{00000000-E039-411E-89EA-EDF6E14D875E}"/>
            </c:ext>
          </c:extLst>
        </c:ser>
        <c:dLbls>
          <c:showLegendKey val="0"/>
          <c:showVal val="0"/>
          <c:showCatName val="0"/>
          <c:showSerName val="0"/>
          <c:showPercent val="0"/>
          <c:showBubbleSize val="0"/>
        </c:dLbls>
        <c:gapWidth val="100"/>
        <c:overlap val="-24"/>
        <c:axId val="1029258416"/>
        <c:axId val="1029249296"/>
      </c:barChart>
      <c:catAx>
        <c:axId val="10292584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29249296"/>
        <c:crosses val="autoZero"/>
        <c:auto val="1"/>
        <c:lblAlgn val="ctr"/>
        <c:lblOffset val="100"/>
        <c:noMultiLvlLbl val="0"/>
      </c:catAx>
      <c:valAx>
        <c:axId val="10292492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29258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r>
              <a:rPr lang="en-US">
                <a:latin typeface="Calisto MT" panose="02040603050505030304" pitchFamily="18" charset="0"/>
              </a:rPr>
              <a:t>FGINX</a:t>
            </a:r>
          </a:p>
        </c:rich>
      </c:tx>
      <c:layout>
        <c:manualLayout>
          <c:xMode val="edge"/>
          <c:yMode val="edge"/>
          <c:x val="0.63752212389380547"/>
          <c:y val="1.21212121212121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lotArea>
      <c:layout>
        <c:manualLayout>
          <c:layoutTarget val="inner"/>
          <c:xMode val="edge"/>
          <c:yMode val="edge"/>
          <c:x val="0.24635099857800796"/>
          <c:y val="0.20429002624671916"/>
          <c:w val="0.52167356438935697"/>
          <c:h val="0.60481528871391077"/>
        </c:manualLayout>
      </c:layout>
      <c:pieChart>
        <c:varyColors val="1"/>
        <c:ser>
          <c:idx val="0"/>
          <c:order val="0"/>
          <c:tx>
            <c:strRef>
              <c:f>'MF Stocks'!$J$1</c:f>
              <c:strCache>
                <c:ptCount val="1"/>
                <c:pt idx="0">
                  <c:v>Total Size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31-4E5B-A839-238B594BCFB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431-4E5B-A839-238B594BCFB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1431-4E5B-A839-238B594BCFB4}"/>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1431-4E5B-A839-238B594BCFB4}"/>
              </c:ext>
            </c:extLst>
          </c:dPt>
          <c:dLbls>
            <c:dLbl>
              <c:idx val="0"/>
              <c:layout>
                <c:manualLayout>
                  <c:x val="2.8070998167482587E-2"/>
                  <c:y val="-2.7556758530183727E-2"/>
                </c:manualLayout>
              </c:layout>
              <c:tx>
                <c:rich>
                  <a:bodyPr/>
                  <a:lstStyle/>
                  <a:p>
                    <a:fld id="{EC7F74F5-7EF0-4573-8C76-0B167D88C1E4}" type="CATEGORYNAME">
                      <a:rPr lang="en-US"/>
                      <a:pPr/>
                      <a:t>[CATEGORY NAME]</a:t>
                    </a:fld>
                    <a:r>
                      <a:rPr lang="en-US" baseline="0"/>
                      <a:t> </a:t>
                    </a:r>
                    <a:fld id="{9617FC5B-3C2F-44CA-99A5-F5072716267F}"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431-4E5B-A839-238B594BCFB4}"/>
                </c:ext>
              </c:extLst>
            </c:dLbl>
            <c:dLbl>
              <c:idx val="1"/>
              <c:layout>
                <c:manualLayout>
                  <c:x val="-4.1830302185678118E-2"/>
                  <c:y val="7.1613934621808636E-2"/>
                </c:manualLayout>
              </c:layout>
              <c:tx>
                <c:rich>
                  <a:bodyPr/>
                  <a:lstStyle/>
                  <a:p>
                    <a:fld id="{BA0341E6-2AF3-4CB0-9A57-5FB4F66AF7C0}" type="CATEGORYNAME">
                      <a:rPr lang="en-US"/>
                      <a:pPr/>
                      <a:t>[CATEGORY NAME]</a:t>
                    </a:fld>
                    <a:r>
                      <a:rPr lang="en-US" baseline="0"/>
                      <a:t> </a:t>
                    </a:r>
                    <a:fld id="{A2B9182A-BA3D-4F99-AD53-03DE4B04FDEB}"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431-4E5B-A839-238B594BCFB4}"/>
                </c:ext>
              </c:extLst>
            </c:dLbl>
            <c:dLbl>
              <c:idx val="2"/>
              <c:layout>
                <c:manualLayout>
                  <c:x val="-0.14831208045896918"/>
                  <c:y val="0.23137675972321642"/>
                </c:manualLayout>
              </c:layout>
              <c:tx>
                <c:rich>
                  <a:bodyPr/>
                  <a:lstStyle/>
                  <a:p>
                    <a:fld id="{A3D94332-9897-4CF2-A536-D089DF3963CC}" type="CATEGORYNAME">
                      <a:rPr lang="en-US"/>
                      <a:pPr/>
                      <a:t>[CATEGORY NAME]</a:t>
                    </a:fld>
                    <a:r>
                      <a:rPr lang="en-US" baseline="0"/>
                      <a:t> </a:t>
                    </a:r>
                    <a:fld id="{2D90423B-625D-4353-B6FD-D5755850853D}"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431-4E5B-A839-238B594BCFB4}"/>
                </c:ext>
              </c:extLst>
            </c:dLbl>
            <c:dLbl>
              <c:idx val="3"/>
              <c:layout>
                <c:manualLayout>
                  <c:x val="-0.14140226243115273"/>
                  <c:y val="9.9003249593813147E-5"/>
                </c:manualLayout>
              </c:layout>
              <c:tx>
                <c:rich>
                  <a:bodyPr/>
                  <a:lstStyle/>
                  <a:p>
                    <a:fld id="{AF079A46-138B-49BB-BD31-3D969154D107}" type="CATEGORYNAME">
                      <a:rPr lang="en-US"/>
                      <a:pPr/>
                      <a:t>[CATEGORY NAME]</a:t>
                    </a:fld>
                    <a:r>
                      <a:rPr lang="en-US" baseline="0"/>
                      <a:t> </a:t>
                    </a:r>
                    <a:fld id="{9278FC19-0E13-47CD-877D-3D7439FEFB16}"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layout>
                    <c:manualLayout>
                      <c:w val="0.17579767848746347"/>
                      <c:h val="0.2282859642544682"/>
                    </c:manualLayout>
                  </c15:layout>
                  <c15:dlblFieldTable/>
                  <c15:showDataLabelsRange val="0"/>
                </c:ext>
                <c:ext xmlns:c16="http://schemas.microsoft.com/office/drawing/2014/chart" uri="{C3380CC4-5D6E-409C-BE32-E72D297353CC}">
                  <c16:uniqueId val="{00000007-1431-4E5B-A839-238B594BCF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'MF Stocks'!$I$2:$I$5</c:f>
              <c:strCache>
                <c:ptCount val="4"/>
                <c:pt idx="0">
                  <c:v>Big Growth</c:v>
                </c:pt>
                <c:pt idx="1">
                  <c:v>Big Value</c:v>
                </c:pt>
                <c:pt idx="2">
                  <c:v>Small Growth</c:v>
                </c:pt>
                <c:pt idx="3">
                  <c:v>Small Value</c:v>
                </c:pt>
              </c:strCache>
            </c:strRef>
          </c:cat>
          <c:val>
            <c:numRef>
              <c:f>'MF Stocks'!$J$2:$J$5</c:f>
              <c:numCache>
                <c:formatCode>General</c:formatCode>
                <c:ptCount val="4"/>
                <c:pt idx="0">
                  <c:v>1999565154.5322499</c:v>
                </c:pt>
                <c:pt idx="1">
                  <c:v>1008112904.0799999</c:v>
                </c:pt>
                <c:pt idx="2">
                  <c:v>302175653.1318</c:v>
                </c:pt>
                <c:pt idx="3">
                  <c:v>209818712.83936</c:v>
                </c:pt>
              </c:numCache>
            </c:numRef>
          </c:val>
          <c:extLst>
            <c:ext xmlns:c16="http://schemas.microsoft.com/office/drawing/2014/chart" uri="{C3380CC4-5D6E-409C-BE32-E72D297353CC}">
              <c16:uniqueId val="{00000008-1431-4E5B-A839-238B594BCFB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r>
              <a:rPr lang="en-US">
                <a:latin typeface="Calisto MT" panose="02040603050505030304" pitchFamily="18" charset="0"/>
              </a:rPr>
              <a:t>PGWCX</a:t>
            </a:r>
          </a:p>
        </c:rich>
      </c:tx>
      <c:layout>
        <c:manualLayout>
          <c:xMode val="edge"/>
          <c:yMode val="edge"/>
          <c:x val="0.76075880758807579"/>
          <c:y val="1.6666666666666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lotArea>
      <c:layout/>
      <c:pieChart>
        <c:varyColors val="1"/>
        <c:ser>
          <c:idx val="0"/>
          <c:order val="0"/>
          <c:tx>
            <c:strRef>
              <c:f>'MF Stocks'!$J$8</c:f>
              <c:strCache>
                <c:ptCount val="1"/>
                <c:pt idx="0">
                  <c:v>Total Size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FD-4708-B288-5215054501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FD-4708-B288-5215054501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FD-4708-B288-5215054501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FD-4708-B288-5215054501AC}"/>
              </c:ext>
            </c:extLst>
          </c:dPt>
          <c:dLbls>
            <c:dLbl>
              <c:idx val="0"/>
              <c:layout>
                <c:manualLayout>
                  <c:x val="-0.38325331284808911"/>
                  <c:y val="-0.11788681102362204"/>
                </c:manualLayout>
              </c:layout>
              <c:tx>
                <c:rich>
                  <a:bodyPr/>
                  <a:lstStyle/>
                  <a:p>
                    <a:fld id="{CBB7541D-5373-41FA-B5F5-693D6E322BEA}" type="CATEGORYNAME">
                      <a:rPr lang="en-US"/>
                      <a:pPr/>
                      <a:t>[CATEGORY NAME]</a:t>
                    </a:fld>
                    <a:r>
                      <a:rPr lang="en-US" baseline="0"/>
                      <a:t> </a:t>
                    </a:r>
                    <a:fld id="{55DA70D5-69BB-448B-B9A2-D530E40B2E30}"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AFD-4708-B288-5215054501AC}"/>
                </c:ext>
              </c:extLst>
            </c:dLbl>
            <c:dLbl>
              <c:idx val="1"/>
              <c:delete val="1"/>
              <c:extLst>
                <c:ext xmlns:c15="http://schemas.microsoft.com/office/drawing/2012/chart" uri="{CE6537A1-D6FC-4f65-9D91-7224C49458BB}"/>
                <c:ext xmlns:c16="http://schemas.microsoft.com/office/drawing/2014/chart" uri="{C3380CC4-5D6E-409C-BE32-E72D297353CC}">
                  <c16:uniqueId val="{00000003-DAFD-4708-B288-5215054501AC}"/>
                </c:ext>
              </c:extLst>
            </c:dLbl>
            <c:dLbl>
              <c:idx val="2"/>
              <c:layout>
                <c:manualLayout>
                  <c:x val="-0.11940981074161525"/>
                  <c:y val="-4.4590943562959173E-2"/>
                </c:manualLayout>
              </c:layout>
              <c:tx>
                <c:rich>
                  <a:bodyPr/>
                  <a:lstStyle/>
                  <a:p>
                    <a:fld id="{256FC9D5-608B-456E-9DEF-78F0F74754D1}" type="CATEGORYNAME">
                      <a:rPr lang="en-US"/>
                      <a:pPr/>
                      <a:t>[CATEGORY NAME]</a:t>
                    </a:fld>
                    <a:r>
                      <a:rPr lang="en-US" baseline="0"/>
                      <a:t> </a:t>
                    </a:r>
                    <a:fld id="{75B5456D-0C7F-4138-8E38-5BC759DD30A0}"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layout>
                    <c:manualLayout>
                      <c:w val="0.25954248366013066"/>
                      <c:h val="0.24090478639918753"/>
                    </c:manualLayout>
                  </c15:layout>
                  <c15:dlblFieldTable/>
                  <c15:showDataLabelsRange val="0"/>
                </c:ext>
                <c:ext xmlns:c16="http://schemas.microsoft.com/office/drawing/2014/chart" uri="{C3380CC4-5D6E-409C-BE32-E72D297353CC}">
                  <c16:uniqueId val="{00000005-DAFD-4708-B288-5215054501AC}"/>
                </c:ext>
              </c:extLst>
            </c:dLbl>
            <c:dLbl>
              <c:idx val="3"/>
              <c:delete val="1"/>
              <c:extLst>
                <c:ext xmlns:c15="http://schemas.microsoft.com/office/drawing/2012/chart" uri="{CE6537A1-D6FC-4f65-9D91-7224C49458BB}"/>
                <c:ext xmlns:c16="http://schemas.microsoft.com/office/drawing/2014/chart" uri="{C3380CC4-5D6E-409C-BE32-E72D297353CC}">
                  <c16:uniqueId val="{00000007-DAFD-4708-B288-5215054501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'MF Stocks'!$I$9:$I$12</c:f>
              <c:strCache>
                <c:ptCount val="4"/>
                <c:pt idx="0">
                  <c:v>Big Growth</c:v>
                </c:pt>
                <c:pt idx="1">
                  <c:v>Big Value</c:v>
                </c:pt>
                <c:pt idx="2">
                  <c:v>Small Growth</c:v>
                </c:pt>
                <c:pt idx="3">
                  <c:v>Small Value</c:v>
                </c:pt>
              </c:strCache>
            </c:strRef>
          </c:cat>
          <c:val>
            <c:numRef>
              <c:f>'MF Stocks'!$J$9:$J$12</c:f>
              <c:numCache>
                <c:formatCode>General</c:formatCode>
                <c:ptCount val="4"/>
                <c:pt idx="0">
                  <c:v>18010511504.34922</c:v>
                </c:pt>
                <c:pt idx="1">
                  <c:v>0</c:v>
                </c:pt>
                <c:pt idx="2">
                  <c:v>201172477.14086998</c:v>
                </c:pt>
                <c:pt idx="3">
                  <c:v>0</c:v>
                </c:pt>
              </c:numCache>
            </c:numRef>
          </c:val>
          <c:extLst>
            <c:ext xmlns:c16="http://schemas.microsoft.com/office/drawing/2014/chart" uri="{C3380CC4-5D6E-409C-BE32-E72D297353CC}">
              <c16:uniqueId val="{00000008-DAFD-4708-B288-5215054501AC}"/>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1"/>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r>
              <a:rPr lang="en-US">
                <a:latin typeface="Calisto MT" panose="02040603050505030304" pitchFamily="18" charset="0"/>
              </a:rPr>
              <a:t>SPFIX</a:t>
            </a:r>
          </a:p>
        </c:rich>
      </c:tx>
      <c:layout>
        <c:manualLayout>
          <c:xMode val="edge"/>
          <c:yMode val="edge"/>
          <c:x val="0.68255401377518354"/>
          <c:y val="3.80952380952380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lotArea>
      <c:layout/>
      <c:pieChart>
        <c:varyColors val="1"/>
        <c:ser>
          <c:idx val="0"/>
          <c:order val="0"/>
          <c:tx>
            <c:strRef>
              <c:f>'MF Stocks'!$J$15</c:f>
              <c:strCache>
                <c:ptCount val="1"/>
                <c:pt idx="0">
                  <c:v>Total Size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F1-457E-8B6C-0A14342E3C2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3F1-457E-8B6C-0A14342E3C2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3F1-457E-8B6C-0A14342E3C2B}"/>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73F1-457E-8B6C-0A14342E3C2B}"/>
              </c:ext>
            </c:extLst>
          </c:dPt>
          <c:dLbls>
            <c:dLbl>
              <c:idx val="0"/>
              <c:layout>
                <c:manualLayout>
                  <c:x val="0.14315464933695504"/>
                  <c:y val="-0.331672330432380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8FF822D-2B4E-4DD1-9D1D-CFBA9964789E}" type="CATEGORYNAME">
                      <a:rPr lang="en-US">
                        <a:solidFill>
                          <a:sysClr val="windowText" lastClr="000000"/>
                        </a:solidFill>
                      </a:rPr>
                      <a:pPr>
                        <a:defRPr/>
                      </a:pPr>
                      <a:t>[CATEGORY NAME]</a:t>
                    </a:fld>
                    <a:endParaRPr lang="en-US">
                      <a:solidFill>
                        <a:sysClr val="windowText" lastClr="000000"/>
                      </a:solidFill>
                    </a:endParaRPr>
                  </a:p>
                  <a:p>
                    <a:pPr>
                      <a:defRPr/>
                    </a:pPr>
                    <a:fld id="{7E4B52C4-0BD8-42EB-869A-CF31FB9ED41F}" type="PERCENTAGE">
                      <a:rPr lang="en-US" baseline="0">
                        <a:solidFill>
                          <a:sysClr val="windowText" lastClr="000000"/>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193595342066955"/>
                      <c:h val="0.39968448680757013"/>
                    </c:manualLayout>
                  </c15:layout>
                  <c15:dlblFieldTable/>
                  <c15:showDataLabelsRange val="0"/>
                </c:ext>
                <c:ext xmlns:c16="http://schemas.microsoft.com/office/drawing/2014/chart" uri="{C3380CC4-5D6E-409C-BE32-E72D297353CC}">
                  <c16:uniqueId val="{00000001-73F1-457E-8B6C-0A14342E3C2B}"/>
                </c:ext>
              </c:extLst>
            </c:dLbl>
            <c:dLbl>
              <c:idx val="1"/>
              <c:layout>
                <c:manualLayout>
                  <c:x val="-8.2089190932925243E-2"/>
                  <c:y val="5.5598753280839873E-2"/>
                </c:manualLayout>
              </c:layout>
              <c:tx>
                <c:rich>
                  <a:bodyPr/>
                  <a:lstStyle/>
                  <a:p>
                    <a:fld id="{39C68574-C1A7-4696-AC0F-5D2ABE9A100D}" type="CATEGORYNAME">
                      <a:rPr lang="en-US"/>
                      <a:pPr/>
                      <a:t>[CATEGORY NAME]</a:t>
                    </a:fld>
                    <a:r>
                      <a:rPr lang="en-US" baseline="0"/>
                      <a:t> </a:t>
                    </a:r>
                    <a:fld id="{34095FCE-D3B5-4411-9B14-A95677F257EC}"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3F1-457E-8B6C-0A14342E3C2B}"/>
                </c:ext>
              </c:extLst>
            </c:dLbl>
            <c:dLbl>
              <c:idx val="2"/>
              <c:delete val="1"/>
              <c:extLst>
                <c:ext xmlns:c15="http://schemas.microsoft.com/office/drawing/2012/chart" uri="{CE6537A1-D6FC-4f65-9D91-7224C49458BB}"/>
                <c:ext xmlns:c16="http://schemas.microsoft.com/office/drawing/2014/chart" uri="{C3380CC4-5D6E-409C-BE32-E72D297353CC}">
                  <c16:uniqueId val="{00000005-73F1-457E-8B6C-0A14342E3C2B}"/>
                </c:ext>
              </c:extLst>
            </c:dLbl>
            <c:dLbl>
              <c:idx val="3"/>
              <c:delete val="1"/>
              <c:extLst>
                <c:ext xmlns:c15="http://schemas.microsoft.com/office/drawing/2012/chart" uri="{CE6537A1-D6FC-4f65-9D91-7224C49458BB}"/>
                <c:ext xmlns:c16="http://schemas.microsoft.com/office/drawing/2014/chart" uri="{C3380CC4-5D6E-409C-BE32-E72D297353CC}">
                  <c16:uniqueId val="{00000007-73F1-457E-8B6C-0A14342E3C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'MF Stocks'!$I$16:$I$19</c:f>
              <c:strCache>
                <c:ptCount val="4"/>
                <c:pt idx="0">
                  <c:v>Big Growth</c:v>
                </c:pt>
                <c:pt idx="1">
                  <c:v>Big Value</c:v>
                </c:pt>
                <c:pt idx="2">
                  <c:v>Small Growth</c:v>
                </c:pt>
                <c:pt idx="3">
                  <c:v>Small Value</c:v>
                </c:pt>
              </c:strCache>
            </c:strRef>
          </c:cat>
          <c:val>
            <c:numRef>
              <c:f>'MF Stocks'!$J$16:$J$19</c:f>
              <c:numCache>
                <c:formatCode>General</c:formatCode>
                <c:ptCount val="4"/>
                <c:pt idx="0">
                  <c:v>20046515031.348579</c:v>
                </c:pt>
                <c:pt idx="1">
                  <c:v>2246113548.7034001</c:v>
                </c:pt>
                <c:pt idx="2">
                  <c:v>0</c:v>
                </c:pt>
                <c:pt idx="3">
                  <c:v>0</c:v>
                </c:pt>
              </c:numCache>
            </c:numRef>
          </c:val>
          <c:extLst>
            <c:ext xmlns:c16="http://schemas.microsoft.com/office/drawing/2014/chart" uri="{C3380CC4-5D6E-409C-BE32-E72D297353CC}">
              <c16:uniqueId val="{00000008-73F1-457E-8B6C-0A14342E3C2B}"/>
            </c:ext>
          </c:extLst>
        </c:ser>
        <c:dLbls>
          <c:showLegendKey val="0"/>
          <c:showVal val="0"/>
          <c:showCatName val="0"/>
          <c:showSerName val="0"/>
          <c:showPercent val="0"/>
          <c:showBubbleSize val="0"/>
          <c:showLeaderLines val="1"/>
        </c:dLbls>
        <c:firstSliceAng val="0"/>
      </c:pieChart>
      <c:spPr>
        <a:noFill/>
        <a:ln>
          <a:noFill/>
        </a:ln>
        <a:effectLst/>
      </c:spPr>
    </c:plotArea>
    <c:legend>
      <c:legendPos val="b"/>
      <c:legendEntry>
        <c:idx val="2"/>
        <c:delete val="1"/>
      </c:legendEntry>
      <c:legendEntry>
        <c:idx val="3"/>
        <c:delete val="1"/>
      </c:legendEntry>
      <c:layout>
        <c:manualLayout>
          <c:xMode val="edge"/>
          <c:yMode val="edge"/>
          <c:x val="0.17351855035587802"/>
          <c:y val="0.82543776764746513"/>
          <c:w val="0.64696844612485116"/>
          <c:h val="0.10663581744225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Calisto MT" panose="02040603050505030304" pitchFamily="18" charset="0"/>
              </a:rPr>
              <a:t>Investment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Investment!$B$7</c:f>
              <c:strCache>
                <c:ptCount val="1"/>
                <c:pt idx="0">
                  <c:v>FGINX</c:v>
                </c:pt>
              </c:strCache>
            </c:strRef>
          </c:tx>
          <c:spPr>
            <a:ln w="28575" cap="rnd">
              <a:solidFill>
                <a:schemeClr val="accent1"/>
              </a:solidFill>
              <a:round/>
            </a:ln>
            <a:effectLst/>
          </c:spPr>
          <c:marker>
            <c:symbol val="none"/>
          </c:marker>
          <c:cat>
            <c:strRef>
              <c:f>Investment!$A$8:$A$141</c:f>
              <c:strCache>
                <c:ptCount val="134"/>
                <c:pt idx="0">
                  <c:v>Date</c:v>
                </c:pt>
                <c:pt idx="1">
                  <c:v>Initial Inv</c:v>
                </c:pt>
                <c:pt idx="2">
                  <c:v>1/31/2014</c:v>
                </c:pt>
                <c:pt idx="3">
                  <c:v>2/28/2014</c:v>
                </c:pt>
                <c:pt idx="4">
                  <c:v>3/31/2014</c:v>
                </c:pt>
                <c:pt idx="5">
                  <c:v>4/30/2014</c:v>
                </c:pt>
                <c:pt idx="6">
                  <c:v>5/30/2014</c:v>
                </c:pt>
                <c:pt idx="7">
                  <c:v>6/30/2014</c:v>
                </c:pt>
                <c:pt idx="8">
                  <c:v>7/31/2014</c:v>
                </c:pt>
                <c:pt idx="9">
                  <c:v>8/29/2014</c:v>
                </c:pt>
                <c:pt idx="10">
                  <c:v>9/30/2014</c:v>
                </c:pt>
                <c:pt idx="11">
                  <c:v>10/31/2014</c:v>
                </c:pt>
                <c:pt idx="12">
                  <c:v>11/28/2014</c:v>
                </c:pt>
                <c:pt idx="13">
                  <c:v>12/31/2014</c:v>
                </c:pt>
                <c:pt idx="14">
                  <c:v>1/30/2015</c:v>
                </c:pt>
                <c:pt idx="15">
                  <c:v>2/27/2015</c:v>
                </c:pt>
                <c:pt idx="16">
                  <c:v>3/31/2015</c:v>
                </c:pt>
                <c:pt idx="17">
                  <c:v>4/30/2015</c:v>
                </c:pt>
                <c:pt idx="18">
                  <c:v>5/29/2015</c:v>
                </c:pt>
                <c:pt idx="19">
                  <c:v>6/30/2015</c:v>
                </c:pt>
                <c:pt idx="20">
                  <c:v>7/31/2015</c:v>
                </c:pt>
                <c:pt idx="21">
                  <c:v>8/31/2015</c:v>
                </c:pt>
                <c:pt idx="22">
                  <c:v>9/30/2015</c:v>
                </c:pt>
                <c:pt idx="23">
                  <c:v>10/30/2015</c:v>
                </c:pt>
                <c:pt idx="24">
                  <c:v>11/30/2015</c:v>
                </c:pt>
                <c:pt idx="25">
                  <c:v>12/31/2015</c:v>
                </c:pt>
                <c:pt idx="26">
                  <c:v>1/29/2016</c:v>
                </c:pt>
                <c:pt idx="27">
                  <c:v>2/29/2016</c:v>
                </c:pt>
                <c:pt idx="28">
                  <c:v>3/31/2016</c:v>
                </c:pt>
                <c:pt idx="29">
                  <c:v>4/29/2016</c:v>
                </c:pt>
                <c:pt idx="30">
                  <c:v>5/31/2016</c:v>
                </c:pt>
                <c:pt idx="31">
                  <c:v>6/30/2016</c:v>
                </c:pt>
                <c:pt idx="32">
                  <c:v>7/29/2016</c:v>
                </c:pt>
                <c:pt idx="33">
                  <c:v>8/31/2016</c:v>
                </c:pt>
                <c:pt idx="34">
                  <c:v>9/30/2016</c:v>
                </c:pt>
                <c:pt idx="35">
                  <c:v>10/31/2016</c:v>
                </c:pt>
                <c:pt idx="36">
                  <c:v>11/30/2016</c:v>
                </c:pt>
                <c:pt idx="37">
                  <c:v>12/30/2016</c:v>
                </c:pt>
                <c:pt idx="38">
                  <c:v>1/31/2017</c:v>
                </c:pt>
                <c:pt idx="39">
                  <c:v>2/28/2017</c:v>
                </c:pt>
                <c:pt idx="40">
                  <c:v>3/31/2017</c:v>
                </c:pt>
                <c:pt idx="41">
                  <c:v>4/28/2017</c:v>
                </c:pt>
                <c:pt idx="42">
                  <c:v>5/31/2017</c:v>
                </c:pt>
                <c:pt idx="43">
                  <c:v>6/30/2017</c:v>
                </c:pt>
                <c:pt idx="44">
                  <c:v>7/31/2017</c:v>
                </c:pt>
                <c:pt idx="45">
                  <c:v>8/31/2017</c:v>
                </c:pt>
                <c:pt idx="46">
                  <c:v>9/29/2017</c:v>
                </c:pt>
                <c:pt idx="47">
                  <c:v>10/31/2017</c:v>
                </c:pt>
                <c:pt idx="48">
                  <c:v>11/30/2017</c:v>
                </c:pt>
                <c:pt idx="49">
                  <c:v>12/29/2017</c:v>
                </c:pt>
                <c:pt idx="50">
                  <c:v>1/31/2018</c:v>
                </c:pt>
                <c:pt idx="51">
                  <c:v>2/28/2018</c:v>
                </c:pt>
                <c:pt idx="52">
                  <c:v>3/29/2018</c:v>
                </c:pt>
                <c:pt idx="53">
                  <c:v>4/30/2018</c:v>
                </c:pt>
                <c:pt idx="54">
                  <c:v>5/31/2018</c:v>
                </c:pt>
                <c:pt idx="55">
                  <c:v>6/29/2018</c:v>
                </c:pt>
                <c:pt idx="56">
                  <c:v>7/31/2018</c:v>
                </c:pt>
                <c:pt idx="57">
                  <c:v>8/31/2018</c:v>
                </c:pt>
                <c:pt idx="58">
                  <c:v>9/28/2018</c:v>
                </c:pt>
                <c:pt idx="59">
                  <c:v>10/31/2018</c:v>
                </c:pt>
                <c:pt idx="60">
                  <c:v>11/30/2018</c:v>
                </c:pt>
                <c:pt idx="61">
                  <c:v>12/31/2018</c:v>
                </c:pt>
                <c:pt idx="62">
                  <c:v>1/31/2019</c:v>
                </c:pt>
                <c:pt idx="63">
                  <c:v>2/28/2019</c:v>
                </c:pt>
                <c:pt idx="64">
                  <c:v>3/29/2019</c:v>
                </c:pt>
                <c:pt idx="65">
                  <c:v>4/30/2019</c:v>
                </c:pt>
                <c:pt idx="66">
                  <c:v>5/31/2019</c:v>
                </c:pt>
                <c:pt idx="67">
                  <c:v>6/28/2019</c:v>
                </c:pt>
                <c:pt idx="68">
                  <c:v>7/31/2019</c:v>
                </c:pt>
                <c:pt idx="69">
                  <c:v>8/30/2019</c:v>
                </c:pt>
                <c:pt idx="70">
                  <c:v>9/30/2019</c:v>
                </c:pt>
                <c:pt idx="71">
                  <c:v>10/31/2019</c:v>
                </c:pt>
                <c:pt idx="72">
                  <c:v>11/29/2019</c:v>
                </c:pt>
                <c:pt idx="73">
                  <c:v>12/31/2019</c:v>
                </c:pt>
                <c:pt idx="74">
                  <c:v>1/31/2020</c:v>
                </c:pt>
                <c:pt idx="75">
                  <c:v>2/28/2020</c:v>
                </c:pt>
                <c:pt idx="76">
                  <c:v>3/31/2020</c:v>
                </c:pt>
                <c:pt idx="77">
                  <c:v>4/30/2020</c:v>
                </c:pt>
                <c:pt idx="78">
                  <c:v>5/29/2020</c:v>
                </c:pt>
                <c:pt idx="79">
                  <c:v>6/30/2020</c:v>
                </c:pt>
                <c:pt idx="80">
                  <c:v>7/31/2020</c:v>
                </c:pt>
                <c:pt idx="81">
                  <c:v>8/31/2020</c:v>
                </c:pt>
                <c:pt idx="82">
                  <c:v>9/30/2020</c:v>
                </c:pt>
                <c:pt idx="83">
                  <c:v>10/30/2020</c:v>
                </c:pt>
                <c:pt idx="84">
                  <c:v>11/30/2020</c:v>
                </c:pt>
                <c:pt idx="85">
                  <c:v>12/31/2020</c:v>
                </c:pt>
                <c:pt idx="86">
                  <c:v>1/29/2021</c:v>
                </c:pt>
                <c:pt idx="87">
                  <c:v>2/26/2021</c:v>
                </c:pt>
                <c:pt idx="88">
                  <c:v>3/31/2021</c:v>
                </c:pt>
                <c:pt idx="89">
                  <c:v>4/30/2021</c:v>
                </c:pt>
                <c:pt idx="90">
                  <c:v>5/28/2021</c:v>
                </c:pt>
                <c:pt idx="91">
                  <c:v>6/30/2021</c:v>
                </c:pt>
                <c:pt idx="92">
                  <c:v>7/30/2021</c:v>
                </c:pt>
                <c:pt idx="93">
                  <c:v>8/31/2021</c:v>
                </c:pt>
                <c:pt idx="94">
                  <c:v>9/30/2021</c:v>
                </c:pt>
                <c:pt idx="95">
                  <c:v>10/29/2021</c:v>
                </c:pt>
                <c:pt idx="96">
                  <c:v>11/30/2021</c:v>
                </c:pt>
                <c:pt idx="97">
                  <c:v>12/31/2021</c:v>
                </c:pt>
                <c:pt idx="98">
                  <c:v>1/31/2022</c:v>
                </c:pt>
                <c:pt idx="99">
                  <c:v>2/28/2022</c:v>
                </c:pt>
                <c:pt idx="100">
                  <c:v>3/31/2022</c:v>
                </c:pt>
                <c:pt idx="101">
                  <c:v>4/29/2022</c:v>
                </c:pt>
                <c:pt idx="102">
                  <c:v>5/31/2022</c:v>
                </c:pt>
                <c:pt idx="103">
                  <c:v>6/30/2022</c:v>
                </c:pt>
                <c:pt idx="104">
                  <c:v>7/29/2022</c:v>
                </c:pt>
                <c:pt idx="105">
                  <c:v>8/31/2022</c:v>
                </c:pt>
                <c:pt idx="106">
                  <c:v>9/30/2022</c:v>
                </c:pt>
                <c:pt idx="107">
                  <c:v>10/31/2022</c:v>
                </c:pt>
                <c:pt idx="108">
                  <c:v>11/30/2022</c:v>
                </c:pt>
                <c:pt idx="109">
                  <c:v>12/30/2022</c:v>
                </c:pt>
                <c:pt idx="110">
                  <c:v>1/31/2023</c:v>
                </c:pt>
                <c:pt idx="111">
                  <c:v>2/28/2023</c:v>
                </c:pt>
                <c:pt idx="112">
                  <c:v>3/31/2023</c:v>
                </c:pt>
                <c:pt idx="113">
                  <c:v>4/28/2023</c:v>
                </c:pt>
                <c:pt idx="114">
                  <c:v>5/31/2023</c:v>
                </c:pt>
                <c:pt idx="115">
                  <c:v>6/30/2023</c:v>
                </c:pt>
                <c:pt idx="116">
                  <c:v>7/31/2023</c:v>
                </c:pt>
                <c:pt idx="117">
                  <c:v>8/31/2023</c:v>
                </c:pt>
                <c:pt idx="118">
                  <c:v>9/29/2023</c:v>
                </c:pt>
                <c:pt idx="119">
                  <c:v>10/31/2023</c:v>
                </c:pt>
                <c:pt idx="120">
                  <c:v>11/30/2023</c:v>
                </c:pt>
                <c:pt idx="121">
                  <c:v>12/29/2023</c:v>
                </c:pt>
                <c:pt idx="122">
                  <c:v>1/31/2024</c:v>
                </c:pt>
                <c:pt idx="123">
                  <c:v>2/29/2024</c:v>
                </c:pt>
                <c:pt idx="124">
                  <c:v>3/28/2024</c:v>
                </c:pt>
                <c:pt idx="125">
                  <c:v>4/30/2024</c:v>
                </c:pt>
                <c:pt idx="126">
                  <c:v>5/31/2024</c:v>
                </c:pt>
                <c:pt idx="127">
                  <c:v>6/28/2024</c:v>
                </c:pt>
                <c:pt idx="128">
                  <c:v>7/31/2024</c:v>
                </c:pt>
                <c:pt idx="129">
                  <c:v>8/30/2024</c:v>
                </c:pt>
                <c:pt idx="130">
                  <c:v>9/30/2024</c:v>
                </c:pt>
                <c:pt idx="131">
                  <c:v>10/31/2024</c:v>
                </c:pt>
                <c:pt idx="132">
                  <c:v>11/29/2024</c:v>
                </c:pt>
                <c:pt idx="133">
                  <c:v>12/31/2024</c:v>
                </c:pt>
              </c:strCache>
            </c:strRef>
          </c:cat>
          <c:val>
            <c:numRef>
              <c:f>Investment!$B$8:$B$141</c:f>
              <c:numCache>
                <c:formatCode>General</c:formatCode>
                <c:ptCount val="134"/>
                <c:pt idx="0">
                  <c:v>0</c:v>
                </c:pt>
                <c:pt idx="1">
                  <c:v>1000000</c:v>
                </c:pt>
                <c:pt idx="2" formatCode="0.00">
                  <c:v>938292.75897435891</c:v>
                </c:pt>
                <c:pt idx="3" formatCode="0.00">
                  <c:v>974014.05354248185</c:v>
                </c:pt>
                <c:pt idx="4" formatCode="0.00">
                  <c:v>969631.74612190016</c:v>
                </c:pt>
                <c:pt idx="5" formatCode="0.00">
                  <c:v>962877.05584139889</c:v>
                </c:pt>
                <c:pt idx="6" formatCode="0.00">
                  <c:v>972972.43305726629</c:v>
                </c:pt>
                <c:pt idx="7" formatCode="0.00">
                  <c:v>985981.01820786146</c:v>
                </c:pt>
                <c:pt idx="8" formatCode="0.00">
                  <c:v>957891.28929192259</c:v>
                </c:pt>
                <c:pt idx="9" formatCode="0.00">
                  <c:v>987539.78379169782</c:v>
                </c:pt>
                <c:pt idx="10" formatCode="0.00">
                  <c:v>947478.18520920828</c:v>
                </c:pt>
                <c:pt idx="11" formatCode="0.00">
                  <c:v>952869.62970741</c:v>
                </c:pt>
                <c:pt idx="12" formatCode="0.00">
                  <c:v>957277.45330599905</c:v>
                </c:pt>
                <c:pt idx="13" formatCode="0.00">
                  <c:v>943334.29012899671</c:v>
                </c:pt>
                <c:pt idx="14" formatCode="0.00">
                  <c:v>906275.21777324646</c:v>
                </c:pt>
                <c:pt idx="15" formatCode="0.00">
                  <c:v>957713.28648960043</c:v>
                </c:pt>
                <c:pt idx="16" formatCode="0.00">
                  <c:v>936527.96116584039</c:v>
                </c:pt>
                <c:pt idx="17" formatCode="0.00">
                  <c:v>931545.74112030852</c:v>
                </c:pt>
                <c:pt idx="18" formatCode="0.00">
                  <c:v>943759.57764366863</c:v>
                </c:pt>
                <c:pt idx="19" formatCode="0.00">
                  <c:v>902715.29942365922</c:v>
                </c:pt>
                <c:pt idx="20" formatCode="0.00">
                  <c:v>885777.94192294299</c:v>
                </c:pt>
                <c:pt idx="21" formatCode="0.00">
                  <c:v>823083.04504889739</c:v>
                </c:pt>
                <c:pt idx="22" formatCode="0.00">
                  <c:v>781978.23834884271</c:v>
                </c:pt>
                <c:pt idx="23" formatCode="0.00">
                  <c:v>826709.32350950257</c:v>
                </c:pt>
                <c:pt idx="24" formatCode="0.00">
                  <c:v>818325.85623609496</c:v>
                </c:pt>
                <c:pt idx="25" formatCode="0.00">
                  <c:v>791205.03664208879</c:v>
                </c:pt>
                <c:pt idx="26" formatCode="0.00">
                  <c:v>727632.4827137019</c:v>
                </c:pt>
                <c:pt idx="27" formatCode="0.00">
                  <c:v>717754.1296474766</c:v>
                </c:pt>
                <c:pt idx="28" formatCode="0.00">
                  <c:v>757453.42585955013</c:v>
                </c:pt>
                <c:pt idx="29" formatCode="0.00">
                  <c:v>747197.01560313988</c:v>
                </c:pt>
                <c:pt idx="30" formatCode="0.00">
                  <c:v>747478.85600318783</c:v>
                </c:pt>
                <c:pt idx="31" formatCode="0.00">
                  <c:v>734760.12277798331</c:v>
                </c:pt>
                <c:pt idx="32" formatCode="0.00">
                  <c:v>758498.15121679776</c:v>
                </c:pt>
                <c:pt idx="33" formatCode="0.00">
                  <c:v>754878.6452027061</c:v>
                </c:pt>
                <c:pt idx="34" formatCode="0.00">
                  <c:v>742555.16362208489</c:v>
                </c:pt>
                <c:pt idx="35" formatCode="0.00">
                  <c:v>709148.59287552559</c:v>
                </c:pt>
                <c:pt idx="36" formatCode="0.00">
                  <c:v>728753.74890588224</c:v>
                </c:pt>
                <c:pt idx="37" formatCode="0.00">
                  <c:v>732755.91833497083</c:v>
                </c:pt>
                <c:pt idx="38" formatCode="0.00">
                  <c:v>732709.14862721867</c:v>
                </c:pt>
                <c:pt idx="39" formatCode="0.00">
                  <c:v>744263.58654222311</c:v>
                </c:pt>
                <c:pt idx="40" formatCode="0.00">
                  <c:v>732683.76134696952</c:v>
                </c:pt>
                <c:pt idx="41" formatCode="0.00">
                  <c:v>730926.70887613972</c:v>
                </c:pt>
                <c:pt idx="42" formatCode="0.00">
                  <c:v>720992.43824321253</c:v>
                </c:pt>
                <c:pt idx="43" formatCode="0.00">
                  <c:v>720895.99950687354</c:v>
                </c:pt>
                <c:pt idx="44" formatCode="0.00">
                  <c:v>716287.04206623673</c:v>
                </c:pt>
                <c:pt idx="45" formatCode="0.00">
                  <c:v>699536.56205843971</c:v>
                </c:pt>
                <c:pt idx="46" formatCode="0.00">
                  <c:v>713542.12386530905</c:v>
                </c:pt>
                <c:pt idx="47" formatCode="0.00">
                  <c:v>714755.60031214624</c:v>
                </c:pt>
                <c:pt idx="48" formatCode="0.00">
                  <c:v>730977.08761479077</c:v>
                </c:pt>
                <c:pt idx="49" formatCode="0.00">
                  <c:v>729029.14532696793</c:v>
                </c:pt>
                <c:pt idx="50" formatCode="0.00">
                  <c:v>746823.55982942123</c:v>
                </c:pt>
                <c:pt idx="51" formatCode="0.00">
                  <c:v>701166.99579738243</c:v>
                </c:pt>
                <c:pt idx="52" formatCode="0.00">
                  <c:v>675047.96940753702</c:v>
                </c:pt>
                <c:pt idx="53" formatCode="0.00">
                  <c:v>663922.01179175708</c:v>
                </c:pt>
                <c:pt idx="54" formatCode="0.00">
                  <c:v>663370.57472134219</c:v>
                </c:pt>
                <c:pt idx="55" formatCode="0.00">
                  <c:v>650888.35139243549</c:v>
                </c:pt>
                <c:pt idx="56" formatCode="0.00">
                  <c:v>668377.06987468537</c:v>
                </c:pt>
                <c:pt idx="57" formatCode="0.00">
                  <c:v>666043.11611875996</c:v>
                </c:pt>
                <c:pt idx="58" formatCode="0.00">
                  <c:v>658272.7932642739</c:v>
                </c:pt>
                <c:pt idx="59" formatCode="0.00">
                  <c:v>609257.22710739728</c:v>
                </c:pt>
                <c:pt idx="60" formatCode="0.00">
                  <c:v>610484.86051165417</c:v>
                </c:pt>
                <c:pt idx="61" formatCode="0.00">
                  <c:v>542218.17122342531</c:v>
                </c:pt>
                <c:pt idx="62" formatCode="0.00">
                  <c:v>567592.55971658579</c:v>
                </c:pt>
                <c:pt idx="63" formatCode="0.00">
                  <c:v>573602.00498217077</c:v>
                </c:pt>
                <c:pt idx="64" formatCode="0.00">
                  <c:v>567352.67194104486</c:v>
                </c:pt>
                <c:pt idx="65" formatCode="0.00">
                  <c:v>578774.54851556884</c:v>
                </c:pt>
                <c:pt idx="66" formatCode="0.00">
                  <c:v>536723.19285887689</c:v>
                </c:pt>
                <c:pt idx="67" formatCode="0.00">
                  <c:v>559388.32991894661</c:v>
                </c:pt>
                <c:pt idx="68" formatCode="0.00">
                  <c:v>555897.22491277882</c:v>
                </c:pt>
                <c:pt idx="69" formatCode="0.00">
                  <c:v>537339.98094300122</c:v>
                </c:pt>
                <c:pt idx="70" formatCode="0.00">
                  <c:v>540681.27264316368</c:v>
                </c:pt>
                <c:pt idx="71" formatCode="0.00">
                  <c:v>530424.86238675343</c:v>
                </c:pt>
                <c:pt idx="72" formatCode="0.00">
                  <c:v>533794.7849023497</c:v>
                </c:pt>
                <c:pt idx="73" formatCode="0.00">
                  <c:v>541709.3445531507</c:v>
                </c:pt>
                <c:pt idx="74" formatCode="0.00">
                  <c:v>516626.99178866431</c:v>
                </c:pt>
                <c:pt idx="75" formatCode="0.00">
                  <c:v>448616.99122617434</c:v>
                </c:pt>
                <c:pt idx="76" formatCode="0.00">
                  <c:v>374281.03124360397</c:v>
                </c:pt>
                <c:pt idx="77" formatCode="0.00">
                  <c:v>405698.52362242865</c:v>
                </c:pt>
                <c:pt idx="78" formatCode="0.00">
                  <c:v>412454.03308302455</c:v>
                </c:pt>
                <c:pt idx="79" formatCode="0.00">
                  <c:v>397349.53268106229</c:v>
                </c:pt>
                <c:pt idx="80" formatCode="0.00">
                  <c:v>396364.77689296729</c:v>
                </c:pt>
                <c:pt idx="81" formatCode="0.00">
                  <c:v>396107.80111571058</c:v>
                </c:pt>
                <c:pt idx="82" formatCode="0.00">
                  <c:v>376906.58391640004</c:v>
                </c:pt>
                <c:pt idx="83" formatCode="0.00">
                  <c:v>356209.44331484794</c:v>
                </c:pt>
                <c:pt idx="84" formatCode="0.00">
                  <c:v>393968.89237571741</c:v>
                </c:pt>
                <c:pt idx="85" formatCode="0.00">
                  <c:v>399908.60227708099</c:v>
                </c:pt>
                <c:pt idx="86" formatCode="0.00">
                  <c:v>383386.58477297839</c:v>
                </c:pt>
                <c:pt idx="87" formatCode="0.00">
                  <c:v>384744.97058891988</c:v>
                </c:pt>
                <c:pt idx="88" formatCode="0.00">
                  <c:v>401238.65268562111</c:v>
                </c:pt>
                <c:pt idx="89" formatCode="0.00">
                  <c:v>402310.95290359721</c:v>
                </c:pt>
                <c:pt idx="90" formatCode="0.00">
                  <c:v>403363.74798438768</c:v>
                </c:pt>
                <c:pt idx="91" formatCode="0.00">
                  <c:v>389648.38626330893</c:v>
                </c:pt>
                <c:pt idx="92" formatCode="0.00">
                  <c:v>382726.83147599932</c:v>
                </c:pt>
                <c:pt idx="93" formatCode="0.00">
                  <c:v>381207.83236055821</c:v>
                </c:pt>
                <c:pt idx="94" formatCode="0.00">
                  <c:v>357564.52718325349</c:v>
                </c:pt>
                <c:pt idx="95" formatCode="0.00">
                  <c:v>357523.14326189557</c:v>
                </c:pt>
                <c:pt idx="96" formatCode="0.00">
                  <c:v>334345.2851370842</c:v>
                </c:pt>
                <c:pt idx="97" formatCode="0.00">
                  <c:v>349992.00229438668</c:v>
                </c:pt>
                <c:pt idx="98" formatCode="0.00">
                  <c:v>340938.5957693829</c:v>
                </c:pt>
                <c:pt idx="99" formatCode="0.00">
                  <c:v>330215.59294921381</c:v>
                </c:pt>
                <c:pt idx="100" formatCode="0.00">
                  <c:v>324518.92100535869</c:v>
                </c:pt>
                <c:pt idx="101" formatCode="0.00">
                  <c:v>302158.6901474527</c:v>
                </c:pt>
                <c:pt idx="102" formatCode="0.00">
                  <c:v>304658.40952228103</c:v>
                </c:pt>
                <c:pt idx="103" formatCode="0.00">
                  <c:v>270288.70911400038</c:v>
                </c:pt>
                <c:pt idx="104" formatCode="0.00">
                  <c:v>266791.57843409432</c:v>
                </c:pt>
                <c:pt idx="105" formatCode="0.00">
                  <c:v>252903.14326662442</c:v>
                </c:pt>
                <c:pt idx="106" formatCode="0.00">
                  <c:v>225437.98405839677</c:v>
                </c:pt>
                <c:pt idx="107" formatCode="0.00">
                  <c:v>246551.17399398773</c:v>
                </c:pt>
                <c:pt idx="108" formatCode="0.00">
                  <c:v>250820.27545405383</c:v>
                </c:pt>
                <c:pt idx="109" formatCode="0.00">
                  <c:v>231707.02537266194</c:v>
                </c:pt>
                <c:pt idx="110" formatCode="0.00">
                  <c:v>230589.43910086917</c:v>
                </c:pt>
                <c:pt idx="111" formatCode="0.00">
                  <c:v>210821.03165621479</c:v>
                </c:pt>
                <c:pt idx="112" formatCode="0.00">
                  <c:v>194714.75308743646</c:v>
                </c:pt>
                <c:pt idx="113" formatCode="0.00">
                  <c:v>187002.57675369454</c:v>
                </c:pt>
                <c:pt idx="114" formatCode="0.00">
                  <c:v>171001.56259378954</c:v>
                </c:pt>
                <c:pt idx="115" formatCode="0.00">
                  <c:v>172708.7710452411</c:v>
                </c:pt>
                <c:pt idx="116" formatCode="0.00">
                  <c:v>168037.79785747241</c:v>
                </c:pt>
                <c:pt idx="117" formatCode="0.00">
                  <c:v>156219.19408242404</c:v>
                </c:pt>
                <c:pt idx="118" formatCode="0.00">
                  <c:v>142923.10885283706</c:v>
                </c:pt>
                <c:pt idx="119" formatCode="0.00">
                  <c:v>128380.90089826923</c:v>
                </c:pt>
                <c:pt idx="120" formatCode="0.00">
                  <c:v>124398.20046433875</c:v>
                </c:pt>
                <c:pt idx="121" formatCode="0.00">
                  <c:v>122691.46686166318</c:v>
                </c:pt>
                <c:pt idx="122" formatCode="0.00">
                  <c:v>113706.35979028852</c:v>
                </c:pt>
                <c:pt idx="123" formatCode="0.00">
                  <c:v>106992.28270581734</c:v>
                </c:pt>
                <c:pt idx="124" formatCode="0.00">
                  <c:v>102863.99323320459</c:v>
                </c:pt>
                <c:pt idx="125" formatCode="0.00">
                  <c:v>88287.902268841761</c:v>
                </c:pt>
                <c:pt idx="126" formatCode="0.00">
                  <c:v>79757.392552762482</c:v>
                </c:pt>
                <c:pt idx="127" formatCode="0.00">
                  <c:v>70140.808339372452</c:v>
                </c:pt>
                <c:pt idx="128" formatCode="0.00">
                  <c:v>61996.580687746355</c:v>
                </c:pt>
                <c:pt idx="129" formatCode="0.00">
                  <c:v>52131.895261671743</c:v>
                </c:pt>
                <c:pt idx="130" formatCode="0.00">
                  <c:v>42304.583100110394</c:v>
                </c:pt>
                <c:pt idx="131" formatCode="0.00">
                  <c:v>32088.10486706339</c:v>
                </c:pt>
                <c:pt idx="132" formatCode="0.00">
                  <c:v>23298.915478656691</c:v>
                </c:pt>
                <c:pt idx="133" formatCode="0.00">
                  <c:v>12195.681443176418</c:v>
                </c:pt>
              </c:numCache>
            </c:numRef>
          </c:val>
          <c:smooth val="0"/>
          <c:extLst>
            <c:ext xmlns:c16="http://schemas.microsoft.com/office/drawing/2014/chart" uri="{C3380CC4-5D6E-409C-BE32-E72D297353CC}">
              <c16:uniqueId val="{00000000-6CA9-4646-A50D-1FBC5829AED5}"/>
            </c:ext>
          </c:extLst>
        </c:ser>
        <c:ser>
          <c:idx val="1"/>
          <c:order val="1"/>
          <c:tx>
            <c:strRef>
              <c:f>Investment!$C$7</c:f>
              <c:strCache>
                <c:ptCount val="1"/>
                <c:pt idx="0">
                  <c:v>PGWCX</c:v>
                </c:pt>
              </c:strCache>
            </c:strRef>
          </c:tx>
          <c:spPr>
            <a:ln w="28575" cap="rnd">
              <a:solidFill>
                <a:schemeClr val="accent3"/>
              </a:solidFill>
              <a:round/>
            </a:ln>
            <a:effectLst/>
          </c:spPr>
          <c:marker>
            <c:symbol val="none"/>
          </c:marker>
          <c:cat>
            <c:strRef>
              <c:f>Investment!$A$8:$A$141</c:f>
              <c:strCache>
                <c:ptCount val="134"/>
                <c:pt idx="0">
                  <c:v>Date</c:v>
                </c:pt>
                <c:pt idx="1">
                  <c:v>Initial Inv</c:v>
                </c:pt>
                <c:pt idx="2">
                  <c:v>1/31/2014</c:v>
                </c:pt>
                <c:pt idx="3">
                  <c:v>2/28/2014</c:v>
                </c:pt>
                <c:pt idx="4">
                  <c:v>3/31/2014</c:v>
                </c:pt>
                <c:pt idx="5">
                  <c:v>4/30/2014</c:v>
                </c:pt>
                <c:pt idx="6">
                  <c:v>5/30/2014</c:v>
                </c:pt>
                <c:pt idx="7">
                  <c:v>6/30/2014</c:v>
                </c:pt>
                <c:pt idx="8">
                  <c:v>7/31/2014</c:v>
                </c:pt>
                <c:pt idx="9">
                  <c:v>8/29/2014</c:v>
                </c:pt>
                <c:pt idx="10">
                  <c:v>9/30/2014</c:v>
                </c:pt>
                <c:pt idx="11">
                  <c:v>10/31/2014</c:v>
                </c:pt>
                <c:pt idx="12">
                  <c:v>11/28/2014</c:v>
                </c:pt>
                <c:pt idx="13">
                  <c:v>12/31/2014</c:v>
                </c:pt>
                <c:pt idx="14">
                  <c:v>1/30/2015</c:v>
                </c:pt>
                <c:pt idx="15">
                  <c:v>2/27/2015</c:v>
                </c:pt>
                <c:pt idx="16">
                  <c:v>3/31/2015</c:v>
                </c:pt>
                <c:pt idx="17">
                  <c:v>4/30/2015</c:v>
                </c:pt>
                <c:pt idx="18">
                  <c:v>5/29/2015</c:v>
                </c:pt>
                <c:pt idx="19">
                  <c:v>6/30/2015</c:v>
                </c:pt>
                <c:pt idx="20">
                  <c:v>7/31/2015</c:v>
                </c:pt>
                <c:pt idx="21">
                  <c:v>8/31/2015</c:v>
                </c:pt>
                <c:pt idx="22">
                  <c:v>9/30/2015</c:v>
                </c:pt>
                <c:pt idx="23">
                  <c:v>10/30/2015</c:v>
                </c:pt>
                <c:pt idx="24">
                  <c:v>11/30/2015</c:v>
                </c:pt>
                <c:pt idx="25">
                  <c:v>12/31/2015</c:v>
                </c:pt>
                <c:pt idx="26">
                  <c:v>1/29/2016</c:v>
                </c:pt>
                <c:pt idx="27">
                  <c:v>2/29/2016</c:v>
                </c:pt>
                <c:pt idx="28">
                  <c:v>3/31/2016</c:v>
                </c:pt>
                <c:pt idx="29">
                  <c:v>4/29/2016</c:v>
                </c:pt>
                <c:pt idx="30">
                  <c:v>5/31/2016</c:v>
                </c:pt>
                <c:pt idx="31">
                  <c:v>6/30/2016</c:v>
                </c:pt>
                <c:pt idx="32">
                  <c:v>7/29/2016</c:v>
                </c:pt>
                <c:pt idx="33">
                  <c:v>8/31/2016</c:v>
                </c:pt>
                <c:pt idx="34">
                  <c:v>9/30/2016</c:v>
                </c:pt>
                <c:pt idx="35">
                  <c:v>10/31/2016</c:v>
                </c:pt>
                <c:pt idx="36">
                  <c:v>11/30/2016</c:v>
                </c:pt>
                <c:pt idx="37">
                  <c:v>12/30/2016</c:v>
                </c:pt>
                <c:pt idx="38">
                  <c:v>1/31/2017</c:v>
                </c:pt>
                <c:pt idx="39">
                  <c:v>2/28/2017</c:v>
                </c:pt>
                <c:pt idx="40">
                  <c:v>3/31/2017</c:v>
                </c:pt>
                <c:pt idx="41">
                  <c:v>4/28/2017</c:v>
                </c:pt>
                <c:pt idx="42">
                  <c:v>5/31/2017</c:v>
                </c:pt>
                <c:pt idx="43">
                  <c:v>6/30/2017</c:v>
                </c:pt>
                <c:pt idx="44">
                  <c:v>7/31/2017</c:v>
                </c:pt>
                <c:pt idx="45">
                  <c:v>8/31/2017</c:v>
                </c:pt>
                <c:pt idx="46">
                  <c:v>9/29/2017</c:v>
                </c:pt>
                <c:pt idx="47">
                  <c:v>10/31/2017</c:v>
                </c:pt>
                <c:pt idx="48">
                  <c:v>11/30/2017</c:v>
                </c:pt>
                <c:pt idx="49">
                  <c:v>12/29/2017</c:v>
                </c:pt>
                <c:pt idx="50">
                  <c:v>1/31/2018</c:v>
                </c:pt>
                <c:pt idx="51">
                  <c:v>2/28/2018</c:v>
                </c:pt>
                <c:pt idx="52">
                  <c:v>3/29/2018</c:v>
                </c:pt>
                <c:pt idx="53">
                  <c:v>4/30/2018</c:v>
                </c:pt>
                <c:pt idx="54">
                  <c:v>5/31/2018</c:v>
                </c:pt>
                <c:pt idx="55">
                  <c:v>6/29/2018</c:v>
                </c:pt>
                <c:pt idx="56">
                  <c:v>7/31/2018</c:v>
                </c:pt>
                <c:pt idx="57">
                  <c:v>8/31/2018</c:v>
                </c:pt>
                <c:pt idx="58">
                  <c:v>9/28/2018</c:v>
                </c:pt>
                <c:pt idx="59">
                  <c:v>10/31/2018</c:v>
                </c:pt>
                <c:pt idx="60">
                  <c:v>11/30/2018</c:v>
                </c:pt>
                <c:pt idx="61">
                  <c:v>12/31/2018</c:v>
                </c:pt>
                <c:pt idx="62">
                  <c:v>1/31/2019</c:v>
                </c:pt>
                <c:pt idx="63">
                  <c:v>2/28/2019</c:v>
                </c:pt>
                <c:pt idx="64">
                  <c:v>3/29/2019</c:v>
                </c:pt>
                <c:pt idx="65">
                  <c:v>4/30/2019</c:v>
                </c:pt>
                <c:pt idx="66">
                  <c:v>5/31/2019</c:v>
                </c:pt>
                <c:pt idx="67">
                  <c:v>6/28/2019</c:v>
                </c:pt>
                <c:pt idx="68">
                  <c:v>7/31/2019</c:v>
                </c:pt>
                <c:pt idx="69">
                  <c:v>8/30/2019</c:v>
                </c:pt>
                <c:pt idx="70">
                  <c:v>9/30/2019</c:v>
                </c:pt>
                <c:pt idx="71">
                  <c:v>10/31/2019</c:v>
                </c:pt>
                <c:pt idx="72">
                  <c:v>11/29/2019</c:v>
                </c:pt>
                <c:pt idx="73">
                  <c:v>12/31/2019</c:v>
                </c:pt>
                <c:pt idx="74">
                  <c:v>1/31/2020</c:v>
                </c:pt>
                <c:pt idx="75">
                  <c:v>2/28/2020</c:v>
                </c:pt>
                <c:pt idx="76">
                  <c:v>3/31/2020</c:v>
                </c:pt>
                <c:pt idx="77">
                  <c:v>4/30/2020</c:v>
                </c:pt>
                <c:pt idx="78">
                  <c:v>5/29/2020</c:v>
                </c:pt>
                <c:pt idx="79">
                  <c:v>6/30/2020</c:v>
                </c:pt>
                <c:pt idx="80">
                  <c:v>7/31/2020</c:v>
                </c:pt>
                <c:pt idx="81">
                  <c:v>8/31/2020</c:v>
                </c:pt>
                <c:pt idx="82">
                  <c:v>9/30/2020</c:v>
                </c:pt>
                <c:pt idx="83">
                  <c:v>10/30/2020</c:v>
                </c:pt>
                <c:pt idx="84">
                  <c:v>11/30/2020</c:v>
                </c:pt>
                <c:pt idx="85">
                  <c:v>12/31/2020</c:v>
                </c:pt>
                <c:pt idx="86">
                  <c:v>1/29/2021</c:v>
                </c:pt>
                <c:pt idx="87">
                  <c:v>2/26/2021</c:v>
                </c:pt>
                <c:pt idx="88">
                  <c:v>3/31/2021</c:v>
                </c:pt>
                <c:pt idx="89">
                  <c:v>4/30/2021</c:v>
                </c:pt>
                <c:pt idx="90">
                  <c:v>5/28/2021</c:v>
                </c:pt>
                <c:pt idx="91">
                  <c:v>6/30/2021</c:v>
                </c:pt>
                <c:pt idx="92">
                  <c:v>7/30/2021</c:v>
                </c:pt>
                <c:pt idx="93">
                  <c:v>8/31/2021</c:v>
                </c:pt>
                <c:pt idx="94">
                  <c:v>9/30/2021</c:v>
                </c:pt>
                <c:pt idx="95">
                  <c:v>10/29/2021</c:v>
                </c:pt>
                <c:pt idx="96">
                  <c:v>11/30/2021</c:v>
                </c:pt>
                <c:pt idx="97">
                  <c:v>12/31/2021</c:v>
                </c:pt>
                <c:pt idx="98">
                  <c:v>1/31/2022</c:v>
                </c:pt>
                <c:pt idx="99">
                  <c:v>2/28/2022</c:v>
                </c:pt>
                <c:pt idx="100">
                  <c:v>3/31/2022</c:v>
                </c:pt>
                <c:pt idx="101">
                  <c:v>4/29/2022</c:v>
                </c:pt>
                <c:pt idx="102">
                  <c:v>5/31/2022</c:v>
                </c:pt>
                <c:pt idx="103">
                  <c:v>6/30/2022</c:v>
                </c:pt>
                <c:pt idx="104">
                  <c:v>7/29/2022</c:v>
                </c:pt>
                <c:pt idx="105">
                  <c:v>8/31/2022</c:v>
                </c:pt>
                <c:pt idx="106">
                  <c:v>9/30/2022</c:v>
                </c:pt>
                <c:pt idx="107">
                  <c:v>10/31/2022</c:v>
                </c:pt>
                <c:pt idx="108">
                  <c:v>11/30/2022</c:v>
                </c:pt>
                <c:pt idx="109">
                  <c:v>12/30/2022</c:v>
                </c:pt>
                <c:pt idx="110">
                  <c:v>1/31/2023</c:v>
                </c:pt>
                <c:pt idx="111">
                  <c:v>2/28/2023</c:v>
                </c:pt>
                <c:pt idx="112">
                  <c:v>3/31/2023</c:v>
                </c:pt>
                <c:pt idx="113">
                  <c:v>4/28/2023</c:v>
                </c:pt>
                <c:pt idx="114">
                  <c:v>5/31/2023</c:v>
                </c:pt>
                <c:pt idx="115">
                  <c:v>6/30/2023</c:v>
                </c:pt>
                <c:pt idx="116">
                  <c:v>7/31/2023</c:v>
                </c:pt>
                <c:pt idx="117">
                  <c:v>8/31/2023</c:v>
                </c:pt>
                <c:pt idx="118">
                  <c:v>9/29/2023</c:v>
                </c:pt>
                <c:pt idx="119">
                  <c:v>10/31/2023</c:v>
                </c:pt>
                <c:pt idx="120">
                  <c:v>11/30/2023</c:v>
                </c:pt>
                <c:pt idx="121">
                  <c:v>12/29/2023</c:v>
                </c:pt>
                <c:pt idx="122">
                  <c:v>1/31/2024</c:v>
                </c:pt>
                <c:pt idx="123">
                  <c:v>2/29/2024</c:v>
                </c:pt>
                <c:pt idx="124">
                  <c:v>3/28/2024</c:v>
                </c:pt>
                <c:pt idx="125">
                  <c:v>4/30/2024</c:v>
                </c:pt>
                <c:pt idx="126">
                  <c:v>5/31/2024</c:v>
                </c:pt>
                <c:pt idx="127">
                  <c:v>6/28/2024</c:v>
                </c:pt>
                <c:pt idx="128">
                  <c:v>7/31/2024</c:v>
                </c:pt>
                <c:pt idx="129">
                  <c:v>8/30/2024</c:v>
                </c:pt>
                <c:pt idx="130">
                  <c:v>9/30/2024</c:v>
                </c:pt>
                <c:pt idx="131">
                  <c:v>10/31/2024</c:v>
                </c:pt>
                <c:pt idx="132">
                  <c:v>11/29/2024</c:v>
                </c:pt>
                <c:pt idx="133">
                  <c:v>12/31/2024</c:v>
                </c:pt>
              </c:strCache>
            </c:strRef>
          </c:cat>
          <c:val>
            <c:numRef>
              <c:f>Investment!$C$8:$C$141</c:f>
              <c:numCache>
                <c:formatCode>General</c:formatCode>
                <c:ptCount val="134"/>
                <c:pt idx="0">
                  <c:v>0</c:v>
                </c:pt>
                <c:pt idx="1">
                  <c:v>1000000</c:v>
                </c:pt>
                <c:pt idx="2" formatCode="0.00">
                  <c:v>981319.88205128198</c:v>
                </c:pt>
                <c:pt idx="3" formatCode="0.00">
                  <c:v>1027807.5657692051</c:v>
                </c:pt>
                <c:pt idx="4" formatCode="0.00">
                  <c:v>978511.787880391</c:v>
                </c:pt>
                <c:pt idx="5" formatCode="0.00">
                  <c:v>956949.05957946542</c:v>
                </c:pt>
                <c:pt idx="6" formatCode="0.00">
                  <c:v>979937.65508933295</c:v>
                </c:pt>
                <c:pt idx="7" formatCode="0.00">
                  <c:v>982593.52028911805</c:v>
                </c:pt>
                <c:pt idx="8" formatCode="0.00">
                  <c:v>954083.42546606378</c:v>
                </c:pt>
                <c:pt idx="9" formatCode="0.00">
                  <c:v>989874.44762770215</c:v>
                </c:pt>
                <c:pt idx="10" formatCode="0.00">
                  <c:v>953407.37716338562</c:v>
                </c:pt>
                <c:pt idx="11" formatCode="0.00">
                  <c:v>969963.80574517383</c:v>
                </c:pt>
                <c:pt idx="12" formatCode="0.00">
                  <c:v>974283.43141144689</c:v>
                </c:pt>
                <c:pt idx="13" formatCode="0.00">
                  <c:v>954995.05199383514</c:v>
                </c:pt>
                <c:pt idx="14" formatCode="0.00">
                  <c:v>936730.0922714168</c:v>
                </c:pt>
                <c:pt idx="15" formatCode="0.00">
                  <c:v>992061.53338589496</c:v>
                </c:pt>
                <c:pt idx="16" formatCode="0.00">
                  <c:v>973024.83991333772</c:v>
                </c:pt>
                <c:pt idx="17" formatCode="0.00">
                  <c:v>962458.41822257789</c:v>
                </c:pt>
                <c:pt idx="18" formatCode="0.00">
                  <c:v>972154.44884109066</c:v>
                </c:pt>
                <c:pt idx="19" formatCode="0.00">
                  <c:v>957645.48735609755</c:v>
                </c:pt>
                <c:pt idx="20" formatCode="0.00">
                  <c:v>983746.08032246493</c:v>
                </c:pt>
                <c:pt idx="21" formatCode="0.00">
                  <c:v>906885.45381947537</c:v>
                </c:pt>
                <c:pt idx="22" formatCode="0.00">
                  <c:v>880460.13202049234</c:v>
                </c:pt>
                <c:pt idx="23" formatCode="0.00">
                  <c:v>942260.94094475696</c:v>
                </c:pt>
                <c:pt idx="24" formatCode="0.00">
                  <c:v>935452.94745189359</c:v>
                </c:pt>
                <c:pt idx="25" formatCode="0.00">
                  <c:v>915674.41443466744</c:v>
                </c:pt>
                <c:pt idx="26" formatCode="0.00">
                  <c:v>844688.90238400898</c:v>
                </c:pt>
                <c:pt idx="27" formatCode="0.00">
                  <c:v>825948.81698013737</c:v>
                </c:pt>
                <c:pt idx="28" formatCode="0.00">
                  <c:v>859678.61975630408</c:v>
                </c:pt>
                <c:pt idx="29" formatCode="0.00">
                  <c:v>860657.51706494903</c:v>
                </c:pt>
                <c:pt idx="30" formatCode="0.00">
                  <c:v>865007.59621908236</c:v>
                </c:pt>
                <c:pt idx="31" formatCode="0.00">
                  <c:v>840606.76333736186</c:v>
                </c:pt>
                <c:pt idx="32" formatCode="0.00">
                  <c:v>873977.79098217783</c:v>
                </c:pt>
                <c:pt idx="33" formatCode="0.00">
                  <c:v>858085.598716532</c:v>
                </c:pt>
                <c:pt idx="34" formatCode="0.00">
                  <c:v>849778.34776439157</c:v>
                </c:pt>
                <c:pt idx="35" formatCode="0.00">
                  <c:v>817516.3884820221</c:v>
                </c:pt>
                <c:pt idx="36" formatCode="0.00">
                  <c:v>805630.12032957433</c:v>
                </c:pt>
                <c:pt idx="37" formatCode="0.00">
                  <c:v>797389.18705448951</c:v>
                </c:pt>
                <c:pt idx="38" formatCode="0.00">
                  <c:v>817533.41890357458</c:v>
                </c:pt>
                <c:pt idx="39" formatCode="0.00">
                  <c:v>829724.15314960736</c:v>
                </c:pt>
                <c:pt idx="40" formatCode="0.00">
                  <c:v>832822.60869912757</c:v>
                </c:pt>
                <c:pt idx="41" formatCode="0.00">
                  <c:v>844198.86689556239</c:v>
                </c:pt>
                <c:pt idx="42" formatCode="0.00">
                  <c:v>860003.15840912564</c:v>
                </c:pt>
                <c:pt idx="43" formatCode="0.00">
                  <c:v>843566.54005340068</c:v>
                </c:pt>
                <c:pt idx="44" formatCode="0.00">
                  <c:v>853659.56316663302</c:v>
                </c:pt>
                <c:pt idx="45" formatCode="0.00">
                  <c:v>860240.85345492256</c:v>
                </c:pt>
                <c:pt idx="46" formatCode="0.00">
                  <c:v>864882.97051889577</c:v>
                </c:pt>
                <c:pt idx="47" formatCode="0.00">
                  <c:v>883825.73132041353</c:v>
                </c:pt>
                <c:pt idx="48" formatCode="0.00">
                  <c:v>908734.85408343468</c:v>
                </c:pt>
                <c:pt idx="49" formatCode="0.00">
                  <c:v>898986.98262623057</c:v>
                </c:pt>
                <c:pt idx="50" formatCode="0.00">
                  <c:v>952745.83549761854</c:v>
                </c:pt>
                <c:pt idx="51" formatCode="0.00">
                  <c:v>926239.96506062464</c:v>
                </c:pt>
                <c:pt idx="52" formatCode="0.00">
                  <c:v>885025.14261894161</c:v>
                </c:pt>
                <c:pt idx="53" formatCode="0.00">
                  <c:v>878739.30763872492</c:v>
                </c:pt>
                <c:pt idx="54" formatCode="0.00">
                  <c:v>909114.00125344878</c:v>
                </c:pt>
                <c:pt idx="55" formatCode="0.00">
                  <c:v>899542.52048137819</c:v>
                </c:pt>
                <c:pt idx="56" formatCode="0.00">
                  <c:v>904404.86338490271</c:v>
                </c:pt>
                <c:pt idx="57" formatCode="0.00">
                  <c:v>949698.31992755306</c:v>
                </c:pt>
                <c:pt idx="58" formatCode="0.00">
                  <c:v>941427.8898681876</c:v>
                </c:pt>
                <c:pt idx="59" formatCode="0.00">
                  <c:v>821814.7010461702</c:v>
                </c:pt>
                <c:pt idx="60" formatCode="0.00">
                  <c:v>822120.7219443887</c:v>
                </c:pt>
                <c:pt idx="61" formatCode="0.00">
                  <c:v>733009.55482234852</c:v>
                </c:pt>
                <c:pt idx="62" formatCode="0.00">
                  <c:v>793526.5779881241</c:v>
                </c:pt>
                <c:pt idx="63" formatCode="0.00">
                  <c:v>810409.69577344996</c:v>
                </c:pt>
                <c:pt idx="64" formatCode="0.00">
                  <c:v>817024.51754216652</c:v>
                </c:pt>
                <c:pt idx="65" formatCode="0.00">
                  <c:v>843517.20134072972</c:v>
                </c:pt>
                <c:pt idx="66" formatCode="0.00">
                  <c:v>777838.9493477192</c:v>
                </c:pt>
                <c:pt idx="67" formatCode="0.00">
                  <c:v>822034.84441444639</c:v>
                </c:pt>
                <c:pt idx="68" formatCode="0.00">
                  <c:v>822627.04115212406</c:v>
                </c:pt>
                <c:pt idx="69" formatCode="0.00">
                  <c:v>804917.94272787648</c:v>
                </c:pt>
                <c:pt idx="70" formatCode="0.00">
                  <c:v>777416.582555303</c:v>
                </c:pt>
                <c:pt idx="71" formatCode="0.00">
                  <c:v>788715.83882014698</c:v>
                </c:pt>
                <c:pt idx="72" formatCode="0.00">
                  <c:v>826385.28328326321</c:v>
                </c:pt>
                <c:pt idx="73" formatCode="0.00">
                  <c:v>833647.89541524742</c:v>
                </c:pt>
                <c:pt idx="74" formatCode="0.00">
                  <c:v>849501.2291532238</c:v>
                </c:pt>
                <c:pt idx="75" formatCode="0.00">
                  <c:v>786592.27744886535</c:v>
                </c:pt>
                <c:pt idx="76" formatCode="0.00">
                  <c:v>694712.69045170757</c:v>
                </c:pt>
                <c:pt idx="77" formatCode="0.00">
                  <c:v>793058.95817388524</c:v>
                </c:pt>
                <c:pt idx="78" formatCode="0.00">
                  <c:v>840485.70206841792</c:v>
                </c:pt>
                <c:pt idx="79" formatCode="0.00">
                  <c:v>871828.76070754009</c:v>
                </c:pt>
                <c:pt idx="80" formatCode="0.00">
                  <c:v>928345.06918344286</c:v>
                </c:pt>
                <c:pt idx="81" formatCode="0.00">
                  <c:v>1036360.5123246487</c:v>
                </c:pt>
                <c:pt idx="82" formatCode="0.00">
                  <c:v>989753.3381483691</c:v>
                </c:pt>
                <c:pt idx="83" formatCode="0.00">
                  <c:v>936763.43592188845</c:v>
                </c:pt>
                <c:pt idx="84" formatCode="0.00">
                  <c:v>1024650.0618801709</c:v>
                </c:pt>
                <c:pt idx="85" formatCode="0.00">
                  <c:v>1065729.0711514845</c:v>
                </c:pt>
                <c:pt idx="86" formatCode="0.00">
                  <c:v>1040002.5981043351</c:v>
                </c:pt>
                <c:pt idx="87" formatCode="0.00">
                  <c:v>1052856.7815417959</c:v>
                </c:pt>
                <c:pt idx="88" formatCode="0.00">
                  <c:v>1046591.4455066661</c:v>
                </c:pt>
                <c:pt idx="89" formatCode="0.00">
                  <c:v>1114593.8754371789</c:v>
                </c:pt>
                <c:pt idx="90" formatCode="0.00">
                  <c:v>1080840.4769341175</c:v>
                </c:pt>
                <c:pt idx="91" formatCode="0.00">
                  <c:v>1129285.2616377126</c:v>
                </c:pt>
                <c:pt idx="92" formatCode="0.00">
                  <c:v>1149778.6451884091</c:v>
                </c:pt>
                <c:pt idx="93" formatCode="0.00">
                  <c:v>1185996.5097614655</c:v>
                </c:pt>
                <c:pt idx="94" formatCode="0.00">
                  <c:v>1107260.2931494829</c:v>
                </c:pt>
                <c:pt idx="95" formatCode="0.00">
                  <c:v>1174826.4353493901</c:v>
                </c:pt>
                <c:pt idx="96" formatCode="0.00">
                  <c:v>1150229.5098039848</c:v>
                </c:pt>
                <c:pt idx="97" formatCode="0.00">
                  <c:v>1151954.2168238196</c:v>
                </c:pt>
                <c:pt idx="98" formatCode="0.00">
                  <c:v>1032766.1354471996</c:v>
                </c:pt>
                <c:pt idx="99" formatCode="0.00">
                  <c:v>964806.4338690975</c:v>
                </c:pt>
                <c:pt idx="100" formatCode="0.00">
                  <c:v>997027.4996634518</c:v>
                </c:pt>
                <c:pt idx="101" formatCode="0.00">
                  <c:v>860986.3918692366</c:v>
                </c:pt>
                <c:pt idx="102" formatCode="0.00">
                  <c:v>822150.5586105251</c:v>
                </c:pt>
                <c:pt idx="103" formatCode="0.00">
                  <c:v>738712.44550391997</c:v>
                </c:pt>
                <c:pt idx="104" formatCode="0.00">
                  <c:v>816155.58578699257</c:v>
                </c:pt>
                <c:pt idx="105" formatCode="0.00">
                  <c:v>755091.26200925675</c:v>
                </c:pt>
                <c:pt idx="106" formatCode="0.00">
                  <c:v>672967.2265769178</c:v>
                </c:pt>
                <c:pt idx="107" formatCode="0.00">
                  <c:v>692198.79680350493</c:v>
                </c:pt>
                <c:pt idx="108" formatCode="0.00">
                  <c:v>714357.8359492243</c:v>
                </c:pt>
                <c:pt idx="109" formatCode="0.00">
                  <c:v>644228.86506045121</c:v>
                </c:pt>
                <c:pt idx="110" formatCode="0.00">
                  <c:v>695599.01521817734</c:v>
                </c:pt>
                <c:pt idx="111" formatCode="0.00">
                  <c:v>674608.08374025091</c:v>
                </c:pt>
                <c:pt idx="112" formatCode="0.00">
                  <c:v>724476.82863747526</c:v>
                </c:pt>
                <c:pt idx="113" formatCode="0.00">
                  <c:v>733761.48902797094</c:v>
                </c:pt>
                <c:pt idx="114" formatCode="0.00">
                  <c:v>775849.22421052563</c:v>
                </c:pt>
                <c:pt idx="115" formatCode="0.00">
                  <c:v>815977.24263324973</c:v>
                </c:pt>
                <c:pt idx="116" formatCode="0.00">
                  <c:v>825746.21794473333</c:v>
                </c:pt>
                <c:pt idx="117" formatCode="0.00">
                  <c:v>812090.84616987815</c:v>
                </c:pt>
                <c:pt idx="118" formatCode="0.00">
                  <c:v>751185.7619345577</c:v>
                </c:pt>
                <c:pt idx="119" formatCode="0.00">
                  <c:v>735813.23450480984</c:v>
                </c:pt>
                <c:pt idx="120" formatCode="0.00">
                  <c:v>811020.88813344284</c:v>
                </c:pt>
                <c:pt idx="121" formatCode="0.00">
                  <c:v>831303.2327698291</c:v>
                </c:pt>
                <c:pt idx="122" formatCode="0.00">
                  <c:v>849602.00995361293</c:v>
                </c:pt>
                <c:pt idx="123" formatCode="0.00">
                  <c:v>906080.28963792778</c:v>
                </c:pt>
                <c:pt idx="124" formatCode="0.00">
                  <c:v>919816.7303429927</c:v>
                </c:pt>
                <c:pt idx="125" formatCode="0.00">
                  <c:v>865075.54395178787</c:v>
                </c:pt>
                <c:pt idx="126" formatCode="0.00">
                  <c:v>920461.54979097936</c:v>
                </c:pt>
                <c:pt idx="127" formatCode="0.00">
                  <c:v>982360.74176603265</c:v>
                </c:pt>
                <c:pt idx="128" formatCode="0.00">
                  <c:v>939414.4070496168</c:v>
                </c:pt>
                <c:pt idx="129" formatCode="0.00">
                  <c:v>950996.92634983407</c:v>
                </c:pt>
                <c:pt idx="130" formatCode="0.00">
                  <c:v>964027.6068288004</c:v>
                </c:pt>
                <c:pt idx="131" formatCode="0.00">
                  <c:v>962376.12030786637</c:v>
                </c:pt>
                <c:pt idx="132" formatCode="0.00">
                  <c:v>1010339.9260816826</c:v>
                </c:pt>
                <c:pt idx="133" formatCode="0.00">
                  <c:v>986459.37808918452</c:v>
                </c:pt>
              </c:numCache>
            </c:numRef>
          </c:val>
          <c:smooth val="0"/>
          <c:extLst>
            <c:ext xmlns:c16="http://schemas.microsoft.com/office/drawing/2014/chart" uri="{C3380CC4-5D6E-409C-BE32-E72D297353CC}">
              <c16:uniqueId val="{00000001-6CA9-4646-A50D-1FBC5829AED5}"/>
            </c:ext>
          </c:extLst>
        </c:ser>
        <c:ser>
          <c:idx val="2"/>
          <c:order val="2"/>
          <c:tx>
            <c:strRef>
              <c:f>Investment!$D$7</c:f>
              <c:strCache>
                <c:ptCount val="1"/>
                <c:pt idx="0">
                  <c:v>SPFIX</c:v>
                </c:pt>
              </c:strCache>
            </c:strRef>
          </c:tx>
          <c:spPr>
            <a:ln w="28575" cap="rnd">
              <a:solidFill>
                <a:schemeClr val="accent5"/>
              </a:solidFill>
              <a:round/>
            </a:ln>
            <a:effectLst/>
          </c:spPr>
          <c:marker>
            <c:symbol val="none"/>
          </c:marker>
          <c:cat>
            <c:strRef>
              <c:f>Investment!$A$8:$A$141</c:f>
              <c:strCache>
                <c:ptCount val="134"/>
                <c:pt idx="0">
                  <c:v>Date</c:v>
                </c:pt>
                <c:pt idx="1">
                  <c:v>Initial Inv</c:v>
                </c:pt>
                <c:pt idx="2">
                  <c:v>1/31/2014</c:v>
                </c:pt>
                <c:pt idx="3">
                  <c:v>2/28/2014</c:v>
                </c:pt>
                <c:pt idx="4">
                  <c:v>3/31/2014</c:v>
                </c:pt>
                <c:pt idx="5">
                  <c:v>4/30/2014</c:v>
                </c:pt>
                <c:pt idx="6">
                  <c:v>5/30/2014</c:v>
                </c:pt>
                <c:pt idx="7">
                  <c:v>6/30/2014</c:v>
                </c:pt>
                <c:pt idx="8">
                  <c:v>7/31/2014</c:v>
                </c:pt>
                <c:pt idx="9">
                  <c:v>8/29/2014</c:v>
                </c:pt>
                <c:pt idx="10">
                  <c:v>9/30/2014</c:v>
                </c:pt>
                <c:pt idx="11">
                  <c:v>10/31/2014</c:v>
                </c:pt>
                <c:pt idx="12">
                  <c:v>11/28/2014</c:v>
                </c:pt>
                <c:pt idx="13">
                  <c:v>12/31/2014</c:v>
                </c:pt>
                <c:pt idx="14">
                  <c:v>1/30/2015</c:v>
                </c:pt>
                <c:pt idx="15">
                  <c:v>2/27/2015</c:v>
                </c:pt>
                <c:pt idx="16">
                  <c:v>3/31/2015</c:v>
                </c:pt>
                <c:pt idx="17">
                  <c:v>4/30/2015</c:v>
                </c:pt>
                <c:pt idx="18">
                  <c:v>5/29/2015</c:v>
                </c:pt>
                <c:pt idx="19">
                  <c:v>6/30/2015</c:v>
                </c:pt>
                <c:pt idx="20">
                  <c:v>7/31/2015</c:v>
                </c:pt>
                <c:pt idx="21">
                  <c:v>8/31/2015</c:v>
                </c:pt>
                <c:pt idx="22">
                  <c:v>9/30/2015</c:v>
                </c:pt>
                <c:pt idx="23">
                  <c:v>10/30/2015</c:v>
                </c:pt>
                <c:pt idx="24">
                  <c:v>11/30/2015</c:v>
                </c:pt>
                <c:pt idx="25">
                  <c:v>12/31/2015</c:v>
                </c:pt>
                <c:pt idx="26">
                  <c:v>1/29/2016</c:v>
                </c:pt>
                <c:pt idx="27">
                  <c:v>2/29/2016</c:v>
                </c:pt>
                <c:pt idx="28">
                  <c:v>3/31/2016</c:v>
                </c:pt>
                <c:pt idx="29">
                  <c:v>4/29/2016</c:v>
                </c:pt>
                <c:pt idx="30">
                  <c:v>5/31/2016</c:v>
                </c:pt>
                <c:pt idx="31">
                  <c:v>6/30/2016</c:v>
                </c:pt>
                <c:pt idx="32">
                  <c:v>7/29/2016</c:v>
                </c:pt>
                <c:pt idx="33">
                  <c:v>8/31/2016</c:v>
                </c:pt>
                <c:pt idx="34">
                  <c:v>9/30/2016</c:v>
                </c:pt>
                <c:pt idx="35">
                  <c:v>10/31/2016</c:v>
                </c:pt>
                <c:pt idx="36">
                  <c:v>11/30/2016</c:v>
                </c:pt>
                <c:pt idx="37">
                  <c:v>12/30/2016</c:v>
                </c:pt>
                <c:pt idx="38">
                  <c:v>1/31/2017</c:v>
                </c:pt>
                <c:pt idx="39">
                  <c:v>2/28/2017</c:v>
                </c:pt>
                <c:pt idx="40">
                  <c:v>3/31/2017</c:v>
                </c:pt>
                <c:pt idx="41">
                  <c:v>4/28/2017</c:v>
                </c:pt>
                <c:pt idx="42">
                  <c:v>5/31/2017</c:v>
                </c:pt>
                <c:pt idx="43">
                  <c:v>6/30/2017</c:v>
                </c:pt>
                <c:pt idx="44">
                  <c:v>7/31/2017</c:v>
                </c:pt>
                <c:pt idx="45">
                  <c:v>8/31/2017</c:v>
                </c:pt>
                <c:pt idx="46">
                  <c:v>9/29/2017</c:v>
                </c:pt>
                <c:pt idx="47">
                  <c:v>10/31/2017</c:v>
                </c:pt>
                <c:pt idx="48">
                  <c:v>11/30/2017</c:v>
                </c:pt>
                <c:pt idx="49">
                  <c:v>12/29/2017</c:v>
                </c:pt>
                <c:pt idx="50">
                  <c:v>1/31/2018</c:v>
                </c:pt>
                <c:pt idx="51">
                  <c:v>2/28/2018</c:v>
                </c:pt>
                <c:pt idx="52">
                  <c:v>3/29/2018</c:v>
                </c:pt>
                <c:pt idx="53">
                  <c:v>4/30/2018</c:v>
                </c:pt>
                <c:pt idx="54">
                  <c:v>5/31/2018</c:v>
                </c:pt>
                <c:pt idx="55">
                  <c:v>6/29/2018</c:v>
                </c:pt>
                <c:pt idx="56">
                  <c:v>7/31/2018</c:v>
                </c:pt>
                <c:pt idx="57">
                  <c:v>8/31/2018</c:v>
                </c:pt>
                <c:pt idx="58">
                  <c:v>9/28/2018</c:v>
                </c:pt>
                <c:pt idx="59">
                  <c:v>10/31/2018</c:v>
                </c:pt>
                <c:pt idx="60">
                  <c:v>11/30/2018</c:v>
                </c:pt>
                <c:pt idx="61">
                  <c:v>12/31/2018</c:v>
                </c:pt>
                <c:pt idx="62">
                  <c:v>1/31/2019</c:v>
                </c:pt>
                <c:pt idx="63">
                  <c:v>2/28/2019</c:v>
                </c:pt>
                <c:pt idx="64">
                  <c:v>3/29/2019</c:v>
                </c:pt>
                <c:pt idx="65">
                  <c:v>4/30/2019</c:v>
                </c:pt>
                <c:pt idx="66">
                  <c:v>5/31/2019</c:v>
                </c:pt>
                <c:pt idx="67">
                  <c:v>6/28/2019</c:v>
                </c:pt>
                <c:pt idx="68">
                  <c:v>7/31/2019</c:v>
                </c:pt>
                <c:pt idx="69">
                  <c:v>8/30/2019</c:v>
                </c:pt>
                <c:pt idx="70">
                  <c:v>9/30/2019</c:v>
                </c:pt>
                <c:pt idx="71">
                  <c:v>10/31/2019</c:v>
                </c:pt>
                <c:pt idx="72">
                  <c:v>11/29/2019</c:v>
                </c:pt>
                <c:pt idx="73">
                  <c:v>12/31/2019</c:v>
                </c:pt>
                <c:pt idx="74">
                  <c:v>1/31/2020</c:v>
                </c:pt>
                <c:pt idx="75">
                  <c:v>2/28/2020</c:v>
                </c:pt>
                <c:pt idx="76">
                  <c:v>3/31/2020</c:v>
                </c:pt>
                <c:pt idx="77">
                  <c:v>4/30/2020</c:v>
                </c:pt>
                <c:pt idx="78">
                  <c:v>5/29/2020</c:v>
                </c:pt>
                <c:pt idx="79">
                  <c:v>6/30/2020</c:v>
                </c:pt>
                <c:pt idx="80">
                  <c:v>7/31/2020</c:v>
                </c:pt>
                <c:pt idx="81">
                  <c:v>8/31/2020</c:v>
                </c:pt>
                <c:pt idx="82">
                  <c:v>9/30/2020</c:v>
                </c:pt>
                <c:pt idx="83">
                  <c:v>10/30/2020</c:v>
                </c:pt>
                <c:pt idx="84">
                  <c:v>11/30/2020</c:v>
                </c:pt>
                <c:pt idx="85">
                  <c:v>12/31/2020</c:v>
                </c:pt>
                <c:pt idx="86">
                  <c:v>1/29/2021</c:v>
                </c:pt>
                <c:pt idx="87">
                  <c:v>2/26/2021</c:v>
                </c:pt>
                <c:pt idx="88">
                  <c:v>3/31/2021</c:v>
                </c:pt>
                <c:pt idx="89">
                  <c:v>4/30/2021</c:v>
                </c:pt>
                <c:pt idx="90">
                  <c:v>5/28/2021</c:v>
                </c:pt>
                <c:pt idx="91">
                  <c:v>6/30/2021</c:v>
                </c:pt>
                <c:pt idx="92">
                  <c:v>7/30/2021</c:v>
                </c:pt>
                <c:pt idx="93">
                  <c:v>8/31/2021</c:v>
                </c:pt>
                <c:pt idx="94">
                  <c:v>9/30/2021</c:v>
                </c:pt>
                <c:pt idx="95">
                  <c:v>10/29/2021</c:v>
                </c:pt>
                <c:pt idx="96">
                  <c:v>11/30/2021</c:v>
                </c:pt>
                <c:pt idx="97">
                  <c:v>12/31/2021</c:v>
                </c:pt>
                <c:pt idx="98">
                  <c:v>1/31/2022</c:v>
                </c:pt>
                <c:pt idx="99">
                  <c:v>2/28/2022</c:v>
                </c:pt>
                <c:pt idx="100">
                  <c:v>3/31/2022</c:v>
                </c:pt>
                <c:pt idx="101">
                  <c:v>4/29/2022</c:v>
                </c:pt>
                <c:pt idx="102">
                  <c:v>5/31/2022</c:v>
                </c:pt>
                <c:pt idx="103">
                  <c:v>6/30/2022</c:v>
                </c:pt>
                <c:pt idx="104">
                  <c:v>7/29/2022</c:v>
                </c:pt>
                <c:pt idx="105">
                  <c:v>8/31/2022</c:v>
                </c:pt>
                <c:pt idx="106">
                  <c:v>9/30/2022</c:v>
                </c:pt>
                <c:pt idx="107">
                  <c:v>10/31/2022</c:v>
                </c:pt>
                <c:pt idx="108">
                  <c:v>11/30/2022</c:v>
                </c:pt>
                <c:pt idx="109">
                  <c:v>12/30/2022</c:v>
                </c:pt>
                <c:pt idx="110">
                  <c:v>1/31/2023</c:v>
                </c:pt>
                <c:pt idx="111">
                  <c:v>2/28/2023</c:v>
                </c:pt>
                <c:pt idx="112">
                  <c:v>3/31/2023</c:v>
                </c:pt>
                <c:pt idx="113">
                  <c:v>4/28/2023</c:v>
                </c:pt>
                <c:pt idx="114">
                  <c:v>5/31/2023</c:v>
                </c:pt>
                <c:pt idx="115">
                  <c:v>6/30/2023</c:v>
                </c:pt>
                <c:pt idx="116">
                  <c:v>7/31/2023</c:v>
                </c:pt>
                <c:pt idx="117">
                  <c:v>8/31/2023</c:v>
                </c:pt>
                <c:pt idx="118">
                  <c:v>9/29/2023</c:v>
                </c:pt>
                <c:pt idx="119">
                  <c:v>10/31/2023</c:v>
                </c:pt>
                <c:pt idx="120">
                  <c:v>11/30/2023</c:v>
                </c:pt>
                <c:pt idx="121">
                  <c:v>12/29/2023</c:v>
                </c:pt>
                <c:pt idx="122">
                  <c:v>1/31/2024</c:v>
                </c:pt>
                <c:pt idx="123">
                  <c:v>2/29/2024</c:v>
                </c:pt>
                <c:pt idx="124">
                  <c:v>3/28/2024</c:v>
                </c:pt>
                <c:pt idx="125">
                  <c:v>4/30/2024</c:v>
                </c:pt>
                <c:pt idx="126">
                  <c:v>5/31/2024</c:v>
                </c:pt>
                <c:pt idx="127">
                  <c:v>6/28/2024</c:v>
                </c:pt>
                <c:pt idx="128">
                  <c:v>7/31/2024</c:v>
                </c:pt>
                <c:pt idx="129">
                  <c:v>8/30/2024</c:v>
                </c:pt>
                <c:pt idx="130">
                  <c:v>9/30/2024</c:v>
                </c:pt>
                <c:pt idx="131">
                  <c:v>10/31/2024</c:v>
                </c:pt>
                <c:pt idx="132">
                  <c:v>11/29/2024</c:v>
                </c:pt>
                <c:pt idx="133">
                  <c:v>12/31/2024</c:v>
                </c:pt>
              </c:strCache>
            </c:strRef>
          </c:cat>
          <c:val>
            <c:numRef>
              <c:f>Investment!$D$8:$D$141</c:f>
              <c:numCache>
                <c:formatCode>General</c:formatCode>
                <c:ptCount val="134"/>
                <c:pt idx="0">
                  <c:v>0</c:v>
                </c:pt>
                <c:pt idx="1">
                  <c:v>1000000</c:v>
                </c:pt>
                <c:pt idx="2" formatCode="0.00">
                  <c:v>953989.10256410262</c:v>
                </c:pt>
                <c:pt idx="3" formatCode="0.00">
                  <c:v>986439.4278326924</c:v>
                </c:pt>
                <c:pt idx="4" formatCode="0.00">
                  <c:v>984552.81076898123</c:v>
                </c:pt>
                <c:pt idx="5" formatCode="0.00">
                  <c:v>981509.11676556559</c:v>
                </c:pt>
                <c:pt idx="6" formatCode="0.00">
                  <c:v>993431.26206229185</c:v>
                </c:pt>
                <c:pt idx="7" formatCode="0.00">
                  <c:v>1002772.4761269282</c:v>
                </c:pt>
                <c:pt idx="8" formatCode="0.00">
                  <c:v>978978.14673204417</c:v>
                </c:pt>
                <c:pt idx="9" formatCode="0.00">
                  <c:v>1007421.201126099</c:v>
                </c:pt>
                <c:pt idx="10" formatCode="0.00">
                  <c:v>982696.92691896041</c:v>
                </c:pt>
                <c:pt idx="11" formatCode="0.00">
                  <c:v>996348.93920521566</c:v>
                </c:pt>
                <c:pt idx="12" formatCode="0.00">
                  <c:v>1012789.9980775655</c:v>
                </c:pt>
                <c:pt idx="13" formatCode="0.00">
                  <c:v>999740.52924548555</c:v>
                </c:pt>
                <c:pt idx="14" formatCode="0.00">
                  <c:v>959904.48073601595</c:v>
                </c:pt>
                <c:pt idx="15" formatCode="0.00">
                  <c:v>1004163.567613558</c:v>
                </c:pt>
                <c:pt idx="16" formatCode="0.00">
                  <c:v>977362.5788157807</c:v>
                </c:pt>
                <c:pt idx="17" formatCode="0.00">
                  <c:v>976624.42747033166</c:v>
                </c:pt>
                <c:pt idx="18" formatCode="0.00">
                  <c:v>979001.3463029589</c:v>
                </c:pt>
                <c:pt idx="19" formatCode="0.00">
                  <c:v>949624.81724379794</c:v>
                </c:pt>
                <c:pt idx="20" formatCode="0.00">
                  <c:v>958562.52164736087</c:v>
                </c:pt>
                <c:pt idx="21" formatCode="0.00">
                  <c:v>890893.76279511966</c:v>
                </c:pt>
                <c:pt idx="22" formatCode="0.00">
                  <c:v>858669.85377963132</c:v>
                </c:pt>
                <c:pt idx="23" formatCode="0.00">
                  <c:v>919899.91186104424</c:v>
                </c:pt>
                <c:pt idx="24" formatCode="0.00">
                  <c:v>912006.75542180287</c:v>
                </c:pt>
                <c:pt idx="25" formatCode="0.00">
                  <c:v>886633.40237904002</c:v>
                </c:pt>
                <c:pt idx="26" formatCode="0.00">
                  <c:v>833190.88670481078</c:v>
                </c:pt>
                <c:pt idx="27" formatCode="0.00">
                  <c:v>822288.47288438852</c:v>
                </c:pt>
                <c:pt idx="28" formatCode="0.00">
                  <c:v>866557.57953725918</c:v>
                </c:pt>
                <c:pt idx="29" formatCode="0.00">
                  <c:v>859680.98999600043</c:v>
                </c:pt>
                <c:pt idx="30" formatCode="0.00">
                  <c:v>863824.87463991542</c:v>
                </c:pt>
                <c:pt idx="31" formatCode="0.00">
                  <c:v>855566.66815862688</c:v>
                </c:pt>
                <c:pt idx="32" formatCode="0.00">
                  <c:v>876011.92646922509</c:v>
                </c:pt>
                <c:pt idx="33" formatCode="0.00">
                  <c:v>866969.30544654513</c:v>
                </c:pt>
                <c:pt idx="34" formatCode="0.00">
                  <c:v>856048.9426963625</c:v>
                </c:pt>
                <c:pt idx="35" formatCode="0.00">
                  <c:v>830884.59326316568</c:v>
                </c:pt>
                <c:pt idx="36" formatCode="0.00">
                  <c:v>852438.19326464634</c:v>
                </c:pt>
                <c:pt idx="37" formatCode="0.00">
                  <c:v>855114.32646811055</c:v>
                </c:pt>
                <c:pt idx="38" formatCode="0.00">
                  <c:v>859377.64435971447</c:v>
                </c:pt>
                <c:pt idx="39" formatCode="0.00">
                  <c:v>882979.09419193934</c:v>
                </c:pt>
                <c:pt idx="40" formatCode="0.00">
                  <c:v>873333.58981428389</c:v>
                </c:pt>
                <c:pt idx="41" formatCode="0.00">
                  <c:v>871706.22519909323</c:v>
                </c:pt>
                <c:pt idx="42" formatCode="0.00">
                  <c:v>873313.70179407357</c:v>
                </c:pt>
                <c:pt idx="43" formatCode="0.00">
                  <c:v>868285.6926097984</c:v>
                </c:pt>
                <c:pt idx="44" formatCode="0.00">
                  <c:v>875116.93551145575</c:v>
                </c:pt>
                <c:pt idx="45" formatCode="0.00">
                  <c:v>867016.62254450645</c:v>
                </c:pt>
                <c:pt idx="46" formatCode="0.00">
                  <c:v>874562.83273923059</c:v>
                </c:pt>
                <c:pt idx="47" formatCode="0.00">
                  <c:v>884746.40506811661</c:v>
                </c:pt>
                <c:pt idx="48" formatCode="0.00">
                  <c:v>902036.42964827514</c:v>
                </c:pt>
                <c:pt idx="49" formatCode="0.00">
                  <c:v>901996.251294018</c:v>
                </c:pt>
                <c:pt idx="50" formatCode="0.00">
                  <c:v>943072.84498693771</c:v>
                </c:pt>
                <c:pt idx="51" formatCode="0.00">
                  <c:v>898680.95011799852</c:v>
                </c:pt>
                <c:pt idx="52" formatCode="0.00">
                  <c:v>865005.66899083671</c:v>
                </c:pt>
                <c:pt idx="53" formatCode="0.00">
                  <c:v>857440.00940092234</c:v>
                </c:pt>
                <c:pt idx="54" formatCode="0.00">
                  <c:v>867287.26595221134</c:v>
                </c:pt>
                <c:pt idx="55" formatCode="0.00">
                  <c:v>861409.42633755098</c:v>
                </c:pt>
                <c:pt idx="56" formatCode="0.00">
                  <c:v>883551.30448525341</c:v>
                </c:pt>
                <c:pt idx="57" formatCode="0.00">
                  <c:v>901615.84764868452</c:v>
                </c:pt>
                <c:pt idx="58" formatCode="0.00">
                  <c:v>896322.5267396745</c:v>
                </c:pt>
                <c:pt idx="59" formatCode="0.00">
                  <c:v>825447.67525629466</c:v>
                </c:pt>
                <c:pt idx="60" formatCode="0.00">
                  <c:v>824544.76957449305</c:v>
                </c:pt>
                <c:pt idx="61" formatCode="0.00">
                  <c:v>740643.30581299611</c:v>
                </c:pt>
                <c:pt idx="62" formatCode="0.00">
                  <c:v>788329.94875488093</c:v>
                </c:pt>
                <c:pt idx="63" formatCode="0.00">
                  <c:v>802905.75547964929</c:v>
                </c:pt>
                <c:pt idx="64" formatCode="0.00">
                  <c:v>807377.56270683196</c:v>
                </c:pt>
                <c:pt idx="65" formatCode="0.00">
                  <c:v>829695.50834530813</c:v>
                </c:pt>
                <c:pt idx="66" formatCode="0.00">
                  <c:v>766740.96969080088</c:v>
                </c:pt>
                <c:pt idx="67" formatCode="0.00">
                  <c:v>809682.82310749521</c:v>
                </c:pt>
                <c:pt idx="68" formatCode="0.00">
                  <c:v>810527.24801993521</c:v>
                </c:pt>
                <c:pt idx="69" formatCode="0.00">
                  <c:v>786921.5199187916</c:v>
                </c:pt>
                <c:pt idx="70" formatCode="0.00">
                  <c:v>791086.22741859243</c:v>
                </c:pt>
                <c:pt idx="71" formatCode="0.00">
                  <c:v>797759.76925789262</c:v>
                </c:pt>
                <c:pt idx="72" formatCode="0.00">
                  <c:v>816033.03069138806</c:v>
                </c:pt>
                <c:pt idx="73" formatCode="0.00">
                  <c:v>829571.20403642277</c:v>
                </c:pt>
                <c:pt idx="74" formatCode="0.00">
                  <c:v>818456.15187613107</c:v>
                </c:pt>
                <c:pt idx="75" formatCode="0.00">
                  <c:v>741344.65079319582</c:v>
                </c:pt>
                <c:pt idx="76" formatCode="0.00">
                  <c:v>640291.46759155998</c:v>
                </c:pt>
                <c:pt idx="77" formatCode="0.00">
                  <c:v>710649.93302635418</c:v>
                </c:pt>
                <c:pt idx="78" formatCode="0.00">
                  <c:v>733531.94190628116</c:v>
                </c:pt>
                <c:pt idx="79" formatCode="0.00">
                  <c:v>737509.59411274036</c:v>
                </c:pt>
                <c:pt idx="80" formatCode="0.00">
                  <c:v>767876.81945336098</c:v>
                </c:pt>
                <c:pt idx="81" formatCode="0.00">
                  <c:v>811931.94347105257</c:v>
                </c:pt>
                <c:pt idx="82" formatCode="0.00">
                  <c:v>770350.8634298133</c:v>
                </c:pt>
                <c:pt idx="83" formatCode="0.00">
                  <c:v>737200.40824382007</c:v>
                </c:pt>
                <c:pt idx="84" formatCode="0.00">
                  <c:v>806439.68583132105</c:v>
                </c:pt>
                <c:pt idx="85" formatCode="0.00">
                  <c:v>826617.3812837617</c:v>
                </c:pt>
                <c:pt idx="86" formatCode="0.00">
                  <c:v>807662.64488105499</c:v>
                </c:pt>
                <c:pt idx="87" formatCode="0.00">
                  <c:v>819007.17211439169</c:v>
                </c:pt>
                <c:pt idx="88" formatCode="0.00">
                  <c:v>843924.14124194684</c:v>
                </c:pt>
                <c:pt idx="89" formatCode="0.00">
                  <c:v>878080.5456860601</c:v>
                </c:pt>
                <c:pt idx="90" formatCode="0.00">
                  <c:v>873609.91894055926</c:v>
                </c:pt>
                <c:pt idx="91" formatCode="0.00">
                  <c:v>883049.19227776048</c:v>
                </c:pt>
                <c:pt idx="92" formatCode="0.00">
                  <c:v>892990.07979010639</c:v>
                </c:pt>
                <c:pt idx="93" formatCode="0.00">
                  <c:v>909029.42281543545</c:v>
                </c:pt>
                <c:pt idx="94" formatCode="0.00">
                  <c:v>856536.97237983893</c:v>
                </c:pt>
                <c:pt idx="95" formatCode="0.00">
                  <c:v>905179.15040553291</c:v>
                </c:pt>
                <c:pt idx="96" formatCode="0.00">
                  <c:v>888421.12644193927</c:v>
                </c:pt>
                <c:pt idx="97" formatCode="0.00">
                  <c:v>917566.21067134128</c:v>
                </c:pt>
                <c:pt idx="98" formatCode="0.00">
                  <c:v>860282.11883982434</c:v>
                </c:pt>
                <c:pt idx="99" formatCode="0.00">
                  <c:v>824462.88544918504</c:v>
                </c:pt>
                <c:pt idx="100" formatCode="0.00">
                  <c:v>843836.26303151506</c:v>
                </c:pt>
                <c:pt idx="101" formatCode="0.00">
                  <c:v>760657.45367448579</c:v>
                </c:pt>
                <c:pt idx="102" formatCode="0.00">
                  <c:v>751323.28630043624</c:v>
                </c:pt>
                <c:pt idx="103" formatCode="0.00">
                  <c:v>680128.20576004975</c:v>
                </c:pt>
                <c:pt idx="104" formatCode="0.00">
                  <c:v>731341.24107443995</c:v>
                </c:pt>
                <c:pt idx="105" formatCode="0.00">
                  <c:v>691390.55748494319</c:v>
                </c:pt>
                <c:pt idx="106" formatCode="0.00">
                  <c:v>618260.01636616152</c:v>
                </c:pt>
                <c:pt idx="107" formatCode="0.00">
                  <c:v>657359.51484292257</c:v>
                </c:pt>
                <c:pt idx="108" formatCode="0.00">
                  <c:v>683273.57972048002</c:v>
                </c:pt>
                <c:pt idx="109" formatCode="0.00">
                  <c:v>634272.24403519277</c:v>
                </c:pt>
                <c:pt idx="110" formatCode="0.00">
                  <c:v>663176.57144340384</c:v>
                </c:pt>
                <c:pt idx="111" formatCode="0.00">
                  <c:v>636636.33236699004</c:v>
                </c:pt>
                <c:pt idx="112" formatCode="0.00">
                  <c:v>649107.49120444001</c:v>
                </c:pt>
                <c:pt idx="113" formatCode="0.00">
                  <c:v>648447.26303495013</c:v>
                </c:pt>
                <c:pt idx="114" formatCode="0.00">
                  <c:v>640501.74185645103</c:v>
                </c:pt>
                <c:pt idx="115" formatCode="0.00">
                  <c:v>671629.13080889429</c:v>
                </c:pt>
                <c:pt idx="116" formatCode="0.00">
                  <c:v>682373.288548187</c:v>
                </c:pt>
                <c:pt idx="117" formatCode="0.00">
                  <c:v>661149.27507181151</c:v>
                </c:pt>
                <c:pt idx="118" formatCode="0.00">
                  <c:v>619833.55909213994</c:v>
                </c:pt>
                <c:pt idx="119" formatCode="0.00">
                  <c:v>596776.63828732818</c:v>
                </c:pt>
                <c:pt idx="120" formatCode="0.00">
                  <c:v>639844.30108257686</c:v>
                </c:pt>
                <c:pt idx="121" formatCode="0.00">
                  <c:v>657882.20022778527</c:v>
                </c:pt>
                <c:pt idx="122" formatCode="0.00">
                  <c:v>658258.5101911251</c:v>
                </c:pt>
                <c:pt idx="123" formatCode="0.00">
                  <c:v>682420.08347064734</c:v>
                </c:pt>
                <c:pt idx="124" formatCode="0.00">
                  <c:v>693682.99321219081</c:v>
                </c:pt>
                <c:pt idx="125" formatCode="0.00">
                  <c:v>655263.94032533874</c:v>
                </c:pt>
                <c:pt idx="126" formatCode="0.00">
                  <c:v>676612.25403477589</c:v>
                </c:pt>
                <c:pt idx="127" formatCode="0.00">
                  <c:v>689815.56761442684</c:v>
                </c:pt>
                <c:pt idx="128" formatCode="0.00">
                  <c:v>687725.41975198779</c:v>
                </c:pt>
                <c:pt idx="129" formatCode="0.00">
                  <c:v>693558.22100208804</c:v>
                </c:pt>
                <c:pt idx="130" formatCode="0.00">
                  <c:v>697619.71688804263</c:v>
                </c:pt>
                <c:pt idx="131" formatCode="0.00">
                  <c:v>680798.29968999373</c:v>
                </c:pt>
                <c:pt idx="132" formatCode="0.00">
                  <c:v>709755.84966954892</c:v>
                </c:pt>
                <c:pt idx="133" formatCode="0.00">
                  <c:v>682484.11554941407</c:v>
                </c:pt>
              </c:numCache>
            </c:numRef>
          </c:val>
          <c:smooth val="0"/>
          <c:extLst>
            <c:ext xmlns:c16="http://schemas.microsoft.com/office/drawing/2014/chart" uri="{C3380CC4-5D6E-409C-BE32-E72D297353CC}">
              <c16:uniqueId val="{00000002-6CA9-4646-A50D-1FBC5829AED5}"/>
            </c:ext>
          </c:extLst>
        </c:ser>
        <c:ser>
          <c:idx val="3"/>
          <c:order val="3"/>
          <c:tx>
            <c:strRef>
              <c:f>Investment!$K$7</c:f>
              <c:strCache>
                <c:ptCount val="1"/>
                <c:pt idx="0">
                  <c:v>Total</c:v>
                </c:pt>
              </c:strCache>
            </c:strRef>
          </c:tx>
          <c:spPr>
            <a:ln w="28575" cap="rnd">
              <a:solidFill>
                <a:schemeClr val="accent1">
                  <a:lumMod val="60000"/>
                </a:schemeClr>
              </a:solidFill>
              <a:round/>
            </a:ln>
            <a:effectLst/>
          </c:spPr>
          <c:marker>
            <c:symbol val="none"/>
          </c:marker>
          <c:cat>
            <c:strRef>
              <c:f>Investment!$A$8:$A$141</c:f>
              <c:strCache>
                <c:ptCount val="134"/>
                <c:pt idx="0">
                  <c:v>Date</c:v>
                </c:pt>
                <c:pt idx="1">
                  <c:v>Initial Inv</c:v>
                </c:pt>
                <c:pt idx="2">
                  <c:v>1/31/2014</c:v>
                </c:pt>
                <c:pt idx="3">
                  <c:v>2/28/2014</c:v>
                </c:pt>
                <c:pt idx="4">
                  <c:v>3/31/2014</c:v>
                </c:pt>
                <c:pt idx="5">
                  <c:v>4/30/2014</c:v>
                </c:pt>
                <c:pt idx="6">
                  <c:v>5/30/2014</c:v>
                </c:pt>
                <c:pt idx="7">
                  <c:v>6/30/2014</c:v>
                </c:pt>
                <c:pt idx="8">
                  <c:v>7/31/2014</c:v>
                </c:pt>
                <c:pt idx="9">
                  <c:v>8/29/2014</c:v>
                </c:pt>
                <c:pt idx="10">
                  <c:v>9/30/2014</c:v>
                </c:pt>
                <c:pt idx="11">
                  <c:v>10/31/2014</c:v>
                </c:pt>
                <c:pt idx="12">
                  <c:v>11/28/2014</c:v>
                </c:pt>
                <c:pt idx="13">
                  <c:v>12/31/2014</c:v>
                </c:pt>
                <c:pt idx="14">
                  <c:v>1/30/2015</c:v>
                </c:pt>
                <c:pt idx="15">
                  <c:v>2/27/2015</c:v>
                </c:pt>
                <c:pt idx="16">
                  <c:v>3/31/2015</c:v>
                </c:pt>
                <c:pt idx="17">
                  <c:v>4/30/2015</c:v>
                </c:pt>
                <c:pt idx="18">
                  <c:v>5/29/2015</c:v>
                </c:pt>
                <c:pt idx="19">
                  <c:v>6/30/2015</c:v>
                </c:pt>
                <c:pt idx="20">
                  <c:v>7/31/2015</c:v>
                </c:pt>
                <c:pt idx="21">
                  <c:v>8/31/2015</c:v>
                </c:pt>
                <c:pt idx="22">
                  <c:v>9/30/2015</c:v>
                </c:pt>
                <c:pt idx="23">
                  <c:v>10/30/2015</c:v>
                </c:pt>
                <c:pt idx="24">
                  <c:v>11/30/2015</c:v>
                </c:pt>
                <c:pt idx="25">
                  <c:v>12/31/2015</c:v>
                </c:pt>
                <c:pt idx="26">
                  <c:v>1/29/2016</c:v>
                </c:pt>
                <c:pt idx="27">
                  <c:v>2/29/2016</c:v>
                </c:pt>
                <c:pt idx="28">
                  <c:v>3/31/2016</c:v>
                </c:pt>
                <c:pt idx="29">
                  <c:v>4/29/2016</c:v>
                </c:pt>
                <c:pt idx="30">
                  <c:v>5/31/2016</c:v>
                </c:pt>
                <c:pt idx="31">
                  <c:v>6/30/2016</c:v>
                </c:pt>
                <c:pt idx="32">
                  <c:v>7/29/2016</c:v>
                </c:pt>
                <c:pt idx="33">
                  <c:v>8/31/2016</c:v>
                </c:pt>
                <c:pt idx="34">
                  <c:v>9/30/2016</c:v>
                </c:pt>
                <c:pt idx="35">
                  <c:v>10/31/2016</c:v>
                </c:pt>
                <c:pt idx="36">
                  <c:v>11/30/2016</c:v>
                </c:pt>
                <c:pt idx="37">
                  <c:v>12/30/2016</c:v>
                </c:pt>
                <c:pt idx="38">
                  <c:v>1/31/2017</c:v>
                </c:pt>
                <c:pt idx="39">
                  <c:v>2/28/2017</c:v>
                </c:pt>
                <c:pt idx="40">
                  <c:v>3/31/2017</c:v>
                </c:pt>
                <c:pt idx="41">
                  <c:v>4/28/2017</c:v>
                </c:pt>
                <c:pt idx="42">
                  <c:v>5/31/2017</c:v>
                </c:pt>
                <c:pt idx="43">
                  <c:v>6/30/2017</c:v>
                </c:pt>
                <c:pt idx="44">
                  <c:v>7/31/2017</c:v>
                </c:pt>
                <c:pt idx="45">
                  <c:v>8/31/2017</c:v>
                </c:pt>
                <c:pt idx="46">
                  <c:v>9/29/2017</c:v>
                </c:pt>
                <c:pt idx="47">
                  <c:v>10/31/2017</c:v>
                </c:pt>
                <c:pt idx="48">
                  <c:v>11/30/2017</c:v>
                </c:pt>
                <c:pt idx="49">
                  <c:v>12/29/2017</c:v>
                </c:pt>
                <c:pt idx="50">
                  <c:v>1/31/2018</c:v>
                </c:pt>
                <c:pt idx="51">
                  <c:v>2/28/2018</c:v>
                </c:pt>
                <c:pt idx="52">
                  <c:v>3/29/2018</c:v>
                </c:pt>
                <c:pt idx="53">
                  <c:v>4/30/2018</c:v>
                </c:pt>
                <c:pt idx="54">
                  <c:v>5/31/2018</c:v>
                </c:pt>
                <c:pt idx="55">
                  <c:v>6/29/2018</c:v>
                </c:pt>
                <c:pt idx="56">
                  <c:v>7/31/2018</c:v>
                </c:pt>
                <c:pt idx="57">
                  <c:v>8/31/2018</c:v>
                </c:pt>
                <c:pt idx="58">
                  <c:v>9/28/2018</c:v>
                </c:pt>
                <c:pt idx="59">
                  <c:v>10/31/2018</c:v>
                </c:pt>
                <c:pt idx="60">
                  <c:v>11/30/2018</c:v>
                </c:pt>
                <c:pt idx="61">
                  <c:v>12/31/2018</c:v>
                </c:pt>
                <c:pt idx="62">
                  <c:v>1/31/2019</c:v>
                </c:pt>
                <c:pt idx="63">
                  <c:v>2/28/2019</c:v>
                </c:pt>
                <c:pt idx="64">
                  <c:v>3/29/2019</c:v>
                </c:pt>
                <c:pt idx="65">
                  <c:v>4/30/2019</c:v>
                </c:pt>
                <c:pt idx="66">
                  <c:v>5/31/2019</c:v>
                </c:pt>
                <c:pt idx="67">
                  <c:v>6/28/2019</c:v>
                </c:pt>
                <c:pt idx="68">
                  <c:v>7/31/2019</c:v>
                </c:pt>
                <c:pt idx="69">
                  <c:v>8/30/2019</c:v>
                </c:pt>
                <c:pt idx="70">
                  <c:v>9/30/2019</c:v>
                </c:pt>
                <c:pt idx="71">
                  <c:v>10/31/2019</c:v>
                </c:pt>
                <c:pt idx="72">
                  <c:v>11/29/2019</c:v>
                </c:pt>
                <c:pt idx="73">
                  <c:v>12/31/2019</c:v>
                </c:pt>
                <c:pt idx="74">
                  <c:v>1/31/2020</c:v>
                </c:pt>
                <c:pt idx="75">
                  <c:v>2/28/2020</c:v>
                </c:pt>
                <c:pt idx="76">
                  <c:v>3/31/2020</c:v>
                </c:pt>
                <c:pt idx="77">
                  <c:v>4/30/2020</c:v>
                </c:pt>
                <c:pt idx="78">
                  <c:v>5/29/2020</c:v>
                </c:pt>
                <c:pt idx="79">
                  <c:v>6/30/2020</c:v>
                </c:pt>
                <c:pt idx="80">
                  <c:v>7/31/2020</c:v>
                </c:pt>
                <c:pt idx="81">
                  <c:v>8/31/2020</c:v>
                </c:pt>
                <c:pt idx="82">
                  <c:v>9/30/2020</c:v>
                </c:pt>
                <c:pt idx="83">
                  <c:v>10/30/2020</c:v>
                </c:pt>
                <c:pt idx="84">
                  <c:v>11/30/2020</c:v>
                </c:pt>
                <c:pt idx="85">
                  <c:v>12/31/2020</c:v>
                </c:pt>
                <c:pt idx="86">
                  <c:v>1/29/2021</c:v>
                </c:pt>
                <c:pt idx="87">
                  <c:v>2/26/2021</c:v>
                </c:pt>
                <c:pt idx="88">
                  <c:v>3/31/2021</c:v>
                </c:pt>
                <c:pt idx="89">
                  <c:v>4/30/2021</c:v>
                </c:pt>
                <c:pt idx="90">
                  <c:v>5/28/2021</c:v>
                </c:pt>
                <c:pt idx="91">
                  <c:v>6/30/2021</c:v>
                </c:pt>
                <c:pt idx="92">
                  <c:v>7/30/2021</c:v>
                </c:pt>
                <c:pt idx="93">
                  <c:v>8/31/2021</c:v>
                </c:pt>
                <c:pt idx="94">
                  <c:v>9/30/2021</c:v>
                </c:pt>
                <c:pt idx="95">
                  <c:v>10/29/2021</c:v>
                </c:pt>
                <c:pt idx="96">
                  <c:v>11/30/2021</c:v>
                </c:pt>
                <c:pt idx="97">
                  <c:v>12/31/2021</c:v>
                </c:pt>
                <c:pt idx="98">
                  <c:v>1/31/2022</c:v>
                </c:pt>
                <c:pt idx="99">
                  <c:v>2/28/2022</c:v>
                </c:pt>
                <c:pt idx="100">
                  <c:v>3/31/2022</c:v>
                </c:pt>
                <c:pt idx="101">
                  <c:v>4/29/2022</c:v>
                </c:pt>
                <c:pt idx="102">
                  <c:v>5/31/2022</c:v>
                </c:pt>
                <c:pt idx="103">
                  <c:v>6/30/2022</c:v>
                </c:pt>
                <c:pt idx="104">
                  <c:v>7/29/2022</c:v>
                </c:pt>
                <c:pt idx="105">
                  <c:v>8/31/2022</c:v>
                </c:pt>
                <c:pt idx="106">
                  <c:v>9/30/2022</c:v>
                </c:pt>
                <c:pt idx="107">
                  <c:v>10/31/2022</c:v>
                </c:pt>
                <c:pt idx="108">
                  <c:v>11/30/2022</c:v>
                </c:pt>
                <c:pt idx="109">
                  <c:v>12/30/2022</c:v>
                </c:pt>
                <c:pt idx="110">
                  <c:v>1/31/2023</c:v>
                </c:pt>
                <c:pt idx="111">
                  <c:v>2/28/2023</c:v>
                </c:pt>
                <c:pt idx="112">
                  <c:v>3/31/2023</c:v>
                </c:pt>
                <c:pt idx="113">
                  <c:v>4/28/2023</c:v>
                </c:pt>
                <c:pt idx="114">
                  <c:v>5/31/2023</c:v>
                </c:pt>
                <c:pt idx="115">
                  <c:v>6/30/2023</c:v>
                </c:pt>
                <c:pt idx="116">
                  <c:v>7/31/2023</c:v>
                </c:pt>
                <c:pt idx="117">
                  <c:v>8/31/2023</c:v>
                </c:pt>
                <c:pt idx="118">
                  <c:v>9/29/2023</c:v>
                </c:pt>
                <c:pt idx="119">
                  <c:v>10/31/2023</c:v>
                </c:pt>
                <c:pt idx="120">
                  <c:v>11/30/2023</c:v>
                </c:pt>
                <c:pt idx="121">
                  <c:v>12/29/2023</c:v>
                </c:pt>
                <c:pt idx="122">
                  <c:v>1/31/2024</c:v>
                </c:pt>
                <c:pt idx="123">
                  <c:v>2/29/2024</c:v>
                </c:pt>
                <c:pt idx="124">
                  <c:v>3/28/2024</c:v>
                </c:pt>
                <c:pt idx="125">
                  <c:v>4/30/2024</c:v>
                </c:pt>
                <c:pt idx="126">
                  <c:v>5/31/2024</c:v>
                </c:pt>
                <c:pt idx="127">
                  <c:v>6/28/2024</c:v>
                </c:pt>
                <c:pt idx="128">
                  <c:v>7/31/2024</c:v>
                </c:pt>
                <c:pt idx="129">
                  <c:v>8/30/2024</c:v>
                </c:pt>
                <c:pt idx="130">
                  <c:v>9/30/2024</c:v>
                </c:pt>
                <c:pt idx="131">
                  <c:v>10/31/2024</c:v>
                </c:pt>
                <c:pt idx="132">
                  <c:v>11/29/2024</c:v>
                </c:pt>
                <c:pt idx="133">
                  <c:v>12/31/2024</c:v>
                </c:pt>
              </c:strCache>
            </c:strRef>
          </c:cat>
          <c:val>
            <c:numRef>
              <c:f>Investment!$K$8:$K$141</c:f>
              <c:numCache>
                <c:formatCode>General</c:formatCode>
                <c:ptCount val="134"/>
                <c:pt idx="0">
                  <c:v>0</c:v>
                </c:pt>
                <c:pt idx="1">
                  <c:v>1000000</c:v>
                </c:pt>
                <c:pt idx="2">
                  <c:v>957867.24786324776</c:v>
                </c:pt>
                <c:pt idx="3">
                  <c:v>996087.015714793</c:v>
                </c:pt>
                <c:pt idx="4">
                  <c:v>977565.44825709052</c:v>
                </c:pt>
                <c:pt idx="5">
                  <c:v>967111.74406214303</c:v>
                </c:pt>
                <c:pt idx="6">
                  <c:v>982113.78340296331</c:v>
                </c:pt>
                <c:pt idx="7">
                  <c:v>990449.00487463549</c:v>
                </c:pt>
                <c:pt idx="8">
                  <c:v>963650.95383000968</c:v>
                </c:pt>
                <c:pt idx="9">
                  <c:v>994945.14418183244</c:v>
                </c:pt>
                <c:pt idx="10">
                  <c:v>961194.16309718427</c:v>
                </c:pt>
                <c:pt idx="11">
                  <c:v>973060.79155259929</c:v>
                </c:pt>
                <c:pt idx="12">
                  <c:v>981450.29426500306</c:v>
                </c:pt>
                <c:pt idx="13">
                  <c:v>966023.29045610502</c:v>
                </c:pt>
                <c:pt idx="14">
                  <c:v>934303.26359355892</c:v>
                </c:pt>
                <c:pt idx="15">
                  <c:v>984646.1291630168</c:v>
                </c:pt>
                <c:pt idx="16">
                  <c:v>962305.12663165189</c:v>
                </c:pt>
                <c:pt idx="17">
                  <c:v>956876.1956044049</c:v>
                </c:pt>
                <c:pt idx="18">
                  <c:v>964971.79092923831</c:v>
                </c:pt>
                <c:pt idx="19">
                  <c:v>936661.86800785037</c:v>
                </c:pt>
                <c:pt idx="20">
                  <c:v>942695.51463092165</c:v>
                </c:pt>
                <c:pt idx="21">
                  <c:v>873620.7538878296</c:v>
                </c:pt>
                <c:pt idx="22">
                  <c:v>840369.40804965422</c:v>
                </c:pt>
                <c:pt idx="23">
                  <c:v>896290.05877176649</c:v>
                </c:pt>
                <c:pt idx="24">
                  <c:v>888595.186369929</c:v>
                </c:pt>
                <c:pt idx="25">
                  <c:v>864504.28448526387</c:v>
                </c:pt>
                <c:pt idx="26">
                  <c:v>801837.42393417237</c:v>
                </c:pt>
                <c:pt idx="27">
                  <c:v>788663.8065039994</c:v>
                </c:pt>
                <c:pt idx="28">
                  <c:v>827896.54171770287</c:v>
                </c:pt>
                <c:pt idx="29">
                  <c:v>822511.84088802827</c:v>
                </c:pt>
                <c:pt idx="30">
                  <c:v>825437.10895406012</c:v>
                </c:pt>
                <c:pt idx="31">
                  <c:v>810311.1847579889</c:v>
                </c:pt>
                <c:pt idx="32">
                  <c:v>836162.62288939836</c:v>
                </c:pt>
                <c:pt idx="33">
                  <c:v>826644.51645525917</c:v>
                </c:pt>
                <c:pt idx="34">
                  <c:v>816127.48469427787</c:v>
                </c:pt>
                <c:pt idx="35">
                  <c:v>785849.85820690263</c:v>
                </c:pt>
                <c:pt idx="36">
                  <c:v>795607.35416669899</c:v>
                </c:pt>
                <c:pt idx="37">
                  <c:v>795086.47728585498</c:v>
                </c:pt>
                <c:pt idx="38">
                  <c:v>803206.73729683389</c:v>
                </c:pt>
                <c:pt idx="39">
                  <c:v>818988.9446279211</c:v>
                </c:pt>
                <c:pt idx="40">
                  <c:v>812946.65328679141</c:v>
                </c:pt>
                <c:pt idx="41">
                  <c:v>815610.60032359615</c:v>
                </c:pt>
                <c:pt idx="42">
                  <c:v>818103.09948213492</c:v>
                </c:pt>
                <c:pt idx="43">
                  <c:v>810916.07739002188</c:v>
                </c:pt>
                <c:pt idx="44">
                  <c:v>815021.18024810613</c:v>
                </c:pt>
                <c:pt idx="45">
                  <c:v>808931.34601928713</c:v>
                </c:pt>
                <c:pt idx="46">
                  <c:v>817662.64237447595</c:v>
                </c:pt>
                <c:pt idx="47">
                  <c:v>827775.91223355616</c:v>
                </c:pt>
                <c:pt idx="48">
                  <c:v>847249.45711549744</c:v>
                </c:pt>
                <c:pt idx="49">
                  <c:v>843337.45974906941</c:v>
                </c:pt>
                <c:pt idx="50">
                  <c:v>880880.74677132291</c:v>
                </c:pt>
                <c:pt idx="51">
                  <c:v>842029.30365866562</c:v>
                </c:pt>
                <c:pt idx="52">
                  <c:v>808359.59367243573</c:v>
                </c:pt>
                <c:pt idx="53">
                  <c:v>800033.77627713187</c:v>
                </c:pt>
                <c:pt idx="54">
                  <c:v>813257.28064233123</c:v>
                </c:pt>
                <c:pt idx="55">
                  <c:v>803946.76607045205</c:v>
                </c:pt>
                <c:pt idx="56">
                  <c:v>818777.7459149441</c:v>
                </c:pt>
                <c:pt idx="57">
                  <c:v>839119.09456499596</c:v>
                </c:pt>
                <c:pt idx="58">
                  <c:v>832007.73662404204</c:v>
                </c:pt>
                <c:pt idx="59">
                  <c:v>752173.2011366178</c:v>
                </c:pt>
                <c:pt idx="60">
                  <c:v>752383.45067684236</c:v>
                </c:pt>
                <c:pt idx="61">
                  <c:v>671957.01061958726</c:v>
                </c:pt>
                <c:pt idx="62">
                  <c:v>716483.02881986066</c:v>
                </c:pt>
                <c:pt idx="63">
                  <c:v>728972.48541175365</c:v>
                </c:pt>
                <c:pt idx="64">
                  <c:v>730584.91739667789</c:v>
                </c:pt>
                <c:pt idx="65">
                  <c:v>750662.41940053226</c:v>
                </c:pt>
                <c:pt idx="66">
                  <c:v>693767.70396579581</c:v>
                </c:pt>
                <c:pt idx="67">
                  <c:v>730368.66581362602</c:v>
                </c:pt>
                <c:pt idx="68">
                  <c:v>729683.83802827587</c:v>
                </c:pt>
                <c:pt idx="69">
                  <c:v>709726.48119655298</c:v>
                </c:pt>
                <c:pt idx="70">
                  <c:v>703061.36087234959</c:v>
                </c:pt>
                <c:pt idx="71">
                  <c:v>705633.4901549276</c:v>
                </c:pt>
                <c:pt idx="72">
                  <c:v>725404.36629232997</c:v>
                </c:pt>
                <c:pt idx="73">
                  <c:v>734976.14800160308</c:v>
                </c:pt>
                <c:pt idx="74">
                  <c:v>728194.79093933583</c:v>
                </c:pt>
                <c:pt idx="75">
                  <c:v>658851.30648940813</c:v>
                </c:pt>
                <c:pt idx="76">
                  <c:v>569761.72976228734</c:v>
                </c:pt>
                <c:pt idx="77">
                  <c:v>636469.138274219</c:v>
                </c:pt>
                <c:pt idx="78">
                  <c:v>662157.22568590404</c:v>
                </c:pt>
                <c:pt idx="79">
                  <c:v>668895.96250044345</c:v>
                </c:pt>
                <c:pt idx="80">
                  <c:v>697528.8885099194</c:v>
                </c:pt>
                <c:pt idx="81">
                  <c:v>748133.41897046578</c:v>
                </c:pt>
                <c:pt idx="82">
                  <c:v>712336.92849818943</c:v>
                </c:pt>
                <c:pt idx="83">
                  <c:v>676724.42916018097</c:v>
                </c:pt>
                <c:pt idx="84">
                  <c:v>741686.21336239809</c:v>
                </c:pt>
                <c:pt idx="85">
                  <c:v>764085.01823743712</c:v>
                </c:pt>
                <c:pt idx="86">
                  <c:v>743683.94258611766</c:v>
                </c:pt>
                <c:pt idx="87">
                  <c:v>752202.97474836372</c:v>
                </c:pt>
                <c:pt idx="88">
                  <c:v>763918.07981140574</c:v>
                </c:pt>
                <c:pt idx="89">
                  <c:v>798328.4580089394</c:v>
                </c:pt>
                <c:pt idx="90">
                  <c:v>785938.04795301543</c:v>
                </c:pt>
                <c:pt idx="91">
                  <c:v>800660.94672625442</c:v>
                </c:pt>
                <c:pt idx="92">
                  <c:v>808498.51881816518</c:v>
                </c:pt>
                <c:pt idx="93">
                  <c:v>825411.25497914641</c:v>
                </c:pt>
                <c:pt idx="94">
                  <c:v>773787.26423751866</c:v>
                </c:pt>
                <c:pt idx="95">
                  <c:v>812509.57633893262</c:v>
                </c:pt>
                <c:pt idx="96">
                  <c:v>790998.64046099596</c:v>
                </c:pt>
                <c:pt idx="97">
                  <c:v>806504.14326317539</c:v>
                </c:pt>
                <c:pt idx="98">
                  <c:v>744662.28335212893</c:v>
                </c:pt>
                <c:pt idx="99">
                  <c:v>706494.97075582575</c:v>
                </c:pt>
                <c:pt idx="100">
                  <c:v>721794.2279001018</c:v>
                </c:pt>
                <c:pt idx="101">
                  <c:v>641267.51189705241</c:v>
                </c:pt>
                <c:pt idx="102">
                  <c:v>626044.08481107489</c:v>
                </c:pt>
                <c:pt idx="103">
                  <c:v>563043.12012598466</c:v>
                </c:pt>
                <c:pt idx="104">
                  <c:v>604762.80176516972</c:v>
                </c:pt>
                <c:pt idx="105">
                  <c:v>566461.65425360249</c:v>
                </c:pt>
                <c:pt idx="106">
                  <c:v>505555.07566715358</c:v>
                </c:pt>
                <c:pt idx="107">
                  <c:v>532036.49521346635</c:v>
                </c:pt>
                <c:pt idx="108">
                  <c:v>549483.89704124699</c:v>
                </c:pt>
                <c:pt idx="109">
                  <c:v>503402.71148943005</c:v>
                </c:pt>
                <c:pt idx="110">
                  <c:v>529788.3419208111</c:v>
                </c:pt>
                <c:pt idx="111">
                  <c:v>507355.14925447974</c:v>
                </c:pt>
                <c:pt idx="112">
                  <c:v>522766.35764311149</c:v>
                </c:pt>
                <c:pt idx="113">
                  <c:v>523070.44293886598</c:v>
                </c:pt>
                <c:pt idx="114">
                  <c:v>529117.50955358264</c:v>
                </c:pt>
                <c:pt idx="115">
                  <c:v>553438.38149578858</c:v>
                </c:pt>
                <c:pt idx="116">
                  <c:v>558719.10145012429</c:v>
                </c:pt>
                <c:pt idx="117">
                  <c:v>543153.1051080313</c:v>
                </c:pt>
                <c:pt idx="118">
                  <c:v>504647.47662650538</c:v>
                </c:pt>
                <c:pt idx="119">
                  <c:v>486990.25789679633</c:v>
                </c:pt>
                <c:pt idx="120">
                  <c:v>525087.79656011274</c:v>
                </c:pt>
                <c:pt idx="121">
                  <c:v>537292.29995308537</c:v>
                </c:pt>
                <c:pt idx="122">
                  <c:v>540522.29331166821</c:v>
                </c:pt>
                <c:pt idx="123">
                  <c:v>565164.2186047897</c:v>
                </c:pt>
                <c:pt idx="124">
                  <c:v>572121.2389294547</c:v>
                </c:pt>
                <c:pt idx="125">
                  <c:v>536209.12884864851</c:v>
                </c:pt>
                <c:pt idx="126">
                  <c:v>558943.73212616448</c:v>
                </c:pt>
                <c:pt idx="127">
                  <c:v>580772.37257326883</c:v>
                </c:pt>
                <c:pt idx="128">
                  <c:v>563045.46916310862</c:v>
                </c:pt>
                <c:pt idx="129">
                  <c:v>565562.34753785608</c:v>
                </c:pt>
                <c:pt idx="130">
                  <c:v>567983.96893897571</c:v>
                </c:pt>
                <c:pt idx="131">
                  <c:v>558420.84162163234</c:v>
                </c:pt>
                <c:pt idx="132">
                  <c:v>581131.56374328665</c:v>
                </c:pt>
                <c:pt idx="133">
                  <c:v>560379.72502724919</c:v>
                </c:pt>
              </c:numCache>
            </c:numRef>
          </c:val>
          <c:smooth val="0"/>
          <c:extLst>
            <c:ext xmlns:c16="http://schemas.microsoft.com/office/drawing/2014/chart" uri="{C3380CC4-5D6E-409C-BE32-E72D297353CC}">
              <c16:uniqueId val="{00000003-6CA9-4646-A50D-1FBC5829AED5}"/>
            </c:ext>
          </c:extLst>
        </c:ser>
        <c:dLbls>
          <c:showLegendKey val="0"/>
          <c:showVal val="0"/>
          <c:showCatName val="0"/>
          <c:showSerName val="0"/>
          <c:showPercent val="0"/>
          <c:showBubbleSize val="0"/>
        </c:dLbls>
        <c:smooth val="0"/>
        <c:axId val="149122912"/>
        <c:axId val="149124352"/>
      </c:lineChart>
      <c:catAx>
        <c:axId val="1491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24352"/>
        <c:crosses val="autoZero"/>
        <c:auto val="1"/>
        <c:lblAlgn val="ctr"/>
        <c:lblOffset val="100"/>
        <c:noMultiLvlLbl val="0"/>
      </c:catAx>
      <c:valAx>
        <c:axId val="14912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4912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r>
              <a:rPr lang="en-US">
                <a:latin typeface="Calisto MT" panose="02040603050505030304" pitchFamily="18" charset="0"/>
              </a:rPr>
              <a:t>Alphas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lotArea>
      <c:layout>
        <c:manualLayout>
          <c:layoutTarget val="inner"/>
          <c:xMode val="edge"/>
          <c:yMode val="edge"/>
          <c:x val="6.9590332458442691E-2"/>
          <c:y val="0.16277777777777774"/>
          <c:w val="0.8644722222222222"/>
          <c:h val="0.52735600758238554"/>
        </c:manualLayout>
      </c:layout>
      <c:barChart>
        <c:barDir val="bar"/>
        <c:grouping val="clustered"/>
        <c:varyColors val="0"/>
        <c:ser>
          <c:idx val="0"/>
          <c:order val="0"/>
          <c:tx>
            <c:strRef>
              <c:f>'Alphas+Ratios'!$J$1</c:f>
              <c:strCache>
                <c:ptCount val="1"/>
                <c:pt idx="0">
                  <c:v>Alpha (1-Factor)</c:v>
                </c:pt>
              </c:strCache>
            </c:strRef>
          </c:tx>
          <c:spPr>
            <a:solidFill>
              <a:schemeClr val="accent1"/>
            </a:solidFill>
            <a:ln>
              <a:noFill/>
            </a:ln>
            <a:effectLst/>
          </c:spPr>
          <c:invertIfNegative val="0"/>
          <c:cat>
            <c:strRef>
              <c:f>'Alphas+Ratios'!$I$2:$I$10</c:f>
              <c:strCache>
                <c:ptCount val="9"/>
                <c:pt idx="0">
                  <c:v>FGINX 1998-2013</c:v>
                </c:pt>
                <c:pt idx="1">
                  <c:v>PGWCX 1998-2013</c:v>
                </c:pt>
                <c:pt idx="2">
                  <c:v>SPFIX 1998-2013</c:v>
                </c:pt>
                <c:pt idx="3">
                  <c:v>FGINX 1998-2006</c:v>
                </c:pt>
                <c:pt idx="4">
                  <c:v>PGWCX 1998-2006</c:v>
                </c:pt>
                <c:pt idx="5">
                  <c:v>SPFIX 1998-2006</c:v>
                </c:pt>
                <c:pt idx="6">
                  <c:v>FGINX 2007-2013</c:v>
                </c:pt>
                <c:pt idx="7">
                  <c:v>PGWCX 2007-2013 </c:v>
                </c:pt>
                <c:pt idx="8">
                  <c:v>SPFIX 2007-2013</c:v>
                </c:pt>
              </c:strCache>
            </c:strRef>
          </c:cat>
          <c:val>
            <c:numRef>
              <c:f>'Alphas+Ratios'!$J$2:$J$10</c:f>
              <c:numCache>
                <c:formatCode>0.0000</c:formatCode>
                <c:ptCount val="9"/>
                <c:pt idx="0">
                  <c:v>-1.3491384036628563E-3</c:v>
                </c:pt>
                <c:pt idx="1">
                  <c:v>-1.2038551654677369E-2</c:v>
                </c:pt>
                <c:pt idx="2">
                  <c:v>-4.0047660971744836E-3</c:v>
                </c:pt>
                <c:pt idx="3">
                  <c:v>-8.7326499479351352E-4</c:v>
                </c:pt>
                <c:pt idx="4">
                  <c:v>-3.0007210414504628E-2</c:v>
                </c:pt>
                <c:pt idx="5">
                  <c:v>-2.0355384571191775E-3</c:v>
                </c:pt>
                <c:pt idx="6">
                  <c:v>-3.9563503406965343E-3</c:v>
                </c:pt>
                <c:pt idx="7">
                  <c:v>1.4126598678176398E-2</c:v>
                </c:pt>
                <c:pt idx="8">
                  <c:v>-7.1194599228119604E-3</c:v>
                </c:pt>
              </c:numCache>
            </c:numRef>
          </c:val>
          <c:extLst>
            <c:ext xmlns:c16="http://schemas.microsoft.com/office/drawing/2014/chart" uri="{C3380CC4-5D6E-409C-BE32-E72D297353CC}">
              <c16:uniqueId val="{00000000-674C-45A7-9EC7-608BC469ADA4}"/>
            </c:ext>
          </c:extLst>
        </c:ser>
        <c:ser>
          <c:idx val="1"/>
          <c:order val="1"/>
          <c:tx>
            <c:strRef>
              <c:f>'Alphas+Ratios'!$K$1</c:f>
              <c:strCache>
                <c:ptCount val="1"/>
                <c:pt idx="0">
                  <c:v>Alpha (3-Factor)</c:v>
                </c:pt>
              </c:strCache>
            </c:strRef>
          </c:tx>
          <c:spPr>
            <a:solidFill>
              <a:schemeClr val="accent3"/>
            </a:solidFill>
            <a:ln>
              <a:noFill/>
            </a:ln>
            <a:effectLst/>
          </c:spPr>
          <c:invertIfNegative val="0"/>
          <c:cat>
            <c:strRef>
              <c:f>'Alphas+Ratios'!$I$2:$I$10</c:f>
              <c:strCache>
                <c:ptCount val="9"/>
                <c:pt idx="0">
                  <c:v>FGINX 1998-2013</c:v>
                </c:pt>
                <c:pt idx="1">
                  <c:v>PGWCX 1998-2013</c:v>
                </c:pt>
                <c:pt idx="2">
                  <c:v>SPFIX 1998-2013</c:v>
                </c:pt>
                <c:pt idx="3">
                  <c:v>FGINX 1998-2006</c:v>
                </c:pt>
                <c:pt idx="4">
                  <c:v>PGWCX 1998-2006</c:v>
                </c:pt>
                <c:pt idx="5">
                  <c:v>SPFIX 1998-2006</c:v>
                </c:pt>
                <c:pt idx="6">
                  <c:v>FGINX 2007-2013</c:v>
                </c:pt>
                <c:pt idx="7">
                  <c:v>PGWCX 2007-2013 </c:v>
                </c:pt>
                <c:pt idx="8">
                  <c:v>SPFIX 2007-2013</c:v>
                </c:pt>
              </c:strCache>
            </c:strRef>
          </c:cat>
          <c:val>
            <c:numRef>
              <c:f>'Alphas+Ratios'!$K$2:$K$10</c:f>
              <c:numCache>
                <c:formatCode>0.0000</c:formatCode>
                <c:ptCount val="9"/>
                <c:pt idx="0">
                  <c:v>-5.8035133340454959E-3</c:v>
                </c:pt>
                <c:pt idx="1">
                  <c:v>-7.2693555928314167E-4</c:v>
                </c:pt>
                <c:pt idx="2">
                  <c:v>-1.146609106637777E-3</c:v>
                </c:pt>
                <c:pt idx="3">
                  <c:v>-1.2877554746822548E-2</c:v>
                </c:pt>
                <c:pt idx="4">
                  <c:v>-4.705912423253287E-3</c:v>
                </c:pt>
                <c:pt idx="5">
                  <c:v>2.9235218547079395E-4</c:v>
                </c:pt>
                <c:pt idx="6">
                  <c:v>-6.6587541305239582E-3</c:v>
                </c:pt>
                <c:pt idx="7">
                  <c:v>-1.5032619051922932E-3</c:v>
                </c:pt>
                <c:pt idx="8">
                  <c:v>-4.4627240100289286E-3</c:v>
                </c:pt>
              </c:numCache>
            </c:numRef>
          </c:val>
          <c:extLst>
            <c:ext xmlns:c16="http://schemas.microsoft.com/office/drawing/2014/chart" uri="{C3380CC4-5D6E-409C-BE32-E72D297353CC}">
              <c16:uniqueId val="{00000001-674C-45A7-9EC7-608BC469ADA4}"/>
            </c:ext>
          </c:extLst>
        </c:ser>
        <c:ser>
          <c:idx val="2"/>
          <c:order val="2"/>
          <c:tx>
            <c:strRef>
              <c:f>'Alphas+Ratios'!$L$1</c:f>
              <c:strCache>
                <c:ptCount val="1"/>
                <c:pt idx="0">
                  <c:v>Alpha (4-Factor)</c:v>
                </c:pt>
              </c:strCache>
            </c:strRef>
          </c:tx>
          <c:spPr>
            <a:solidFill>
              <a:schemeClr val="accent5"/>
            </a:solidFill>
            <a:ln>
              <a:noFill/>
            </a:ln>
            <a:effectLst/>
          </c:spPr>
          <c:invertIfNegative val="0"/>
          <c:cat>
            <c:strRef>
              <c:f>'Alphas+Ratios'!$I$2:$I$10</c:f>
              <c:strCache>
                <c:ptCount val="9"/>
                <c:pt idx="0">
                  <c:v>FGINX 1998-2013</c:v>
                </c:pt>
                <c:pt idx="1">
                  <c:v>PGWCX 1998-2013</c:v>
                </c:pt>
                <c:pt idx="2">
                  <c:v>SPFIX 1998-2013</c:v>
                </c:pt>
                <c:pt idx="3">
                  <c:v>FGINX 1998-2006</c:v>
                </c:pt>
                <c:pt idx="4">
                  <c:v>PGWCX 1998-2006</c:v>
                </c:pt>
                <c:pt idx="5">
                  <c:v>SPFIX 1998-2006</c:v>
                </c:pt>
                <c:pt idx="6">
                  <c:v>FGINX 2007-2013</c:v>
                </c:pt>
                <c:pt idx="7">
                  <c:v>PGWCX 2007-2013 </c:v>
                </c:pt>
                <c:pt idx="8">
                  <c:v>SPFIX 2007-2013</c:v>
                </c:pt>
              </c:strCache>
            </c:strRef>
          </c:cat>
          <c:val>
            <c:numRef>
              <c:f>'Alphas+Ratios'!$L$2:$L$10</c:f>
              <c:numCache>
                <c:formatCode>0.0000</c:formatCode>
                <c:ptCount val="9"/>
                <c:pt idx="0">
                  <c:v>-9.0707638986264449E-3</c:v>
                </c:pt>
                <c:pt idx="1">
                  <c:v>-1.3469138219158034E-2</c:v>
                </c:pt>
                <c:pt idx="2">
                  <c:v>5.2008424949697286E-4</c:v>
                </c:pt>
                <c:pt idx="3">
                  <c:v>-2.1061670794083928E-2</c:v>
                </c:pt>
                <c:pt idx="4">
                  <c:v>-3.3785495195497048E-2</c:v>
                </c:pt>
                <c:pt idx="5">
                  <c:v>4.5712071087256967E-3</c:v>
                </c:pt>
                <c:pt idx="6">
                  <c:v>-6.7124527154093123E-3</c:v>
                </c:pt>
                <c:pt idx="7">
                  <c:v>-1.4263140285599375E-3</c:v>
                </c:pt>
                <c:pt idx="8">
                  <c:v>-4.4595080868103472E-3</c:v>
                </c:pt>
              </c:numCache>
            </c:numRef>
          </c:val>
          <c:extLst>
            <c:ext xmlns:c16="http://schemas.microsoft.com/office/drawing/2014/chart" uri="{C3380CC4-5D6E-409C-BE32-E72D297353CC}">
              <c16:uniqueId val="{00000002-674C-45A7-9EC7-608BC469ADA4}"/>
            </c:ext>
          </c:extLst>
        </c:ser>
        <c:dLbls>
          <c:showLegendKey val="0"/>
          <c:showVal val="0"/>
          <c:showCatName val="0"/>
          <c:showSerName val="0"/>
          <c:showPercent val="0"/>
          <c:showBubbleSize val="0"/>
        </c:dLbls>
        <c:gapWidth val="75"/>
        <c:overlap val="-25"/>
        <c:axId val="1037718096"/>
        <c:axId val="1037722416"/>
      </c:barChart>
      <c:catAx>
        <c:axId val="103771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037722416"/>
        <c:crosses val="autoZero"/>
        <c:auto val="1"/>
        <c:lblAlgn val="ctr"/>
        <c:lblOffset val="50"/>
        <c:noMultiLvlLbl val="0"/>
      </c:catAx>
      <c:valAx>
        <c:axId val="1037722416"/>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037718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r>
              <a:rPr lang="en-US">
                <a:latin typeface="Calisto MT" panose="02040603050505030304" pitchFamily="18" charset="0"/>
              </a:rPr>
              <a:t>Growth</a:t>
            </a:r>
            <a:r>
              <a:rPr lang="en-US" baseline="0">
                <a:latin typeface="Calisto MT" panose="02040603050505030304" pitchFamily="18" charset="0"/>
              </a:rPr>
              <a:t> Over Time</a:t>
            </a:r>
            <a:endParaRPr lang="en-US">
              <a:latin typeface="Calisto MT" panose="020406030505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lotArea>
      <c:layout/>
      <c:lineChart>
        <c:grouping val="standard"/>
        <c:varyColors val="0"/>
        <c:ser>
          <c:idx val="0"/>
          <c:order val="0"/>
          <c:tx>
            <c:strRef>
              <c:f>'MF Data '!$M$1</c:f>
              <c:strCache>
                <c:ptCount val="1"/>
                <c:pt idx="0">
                  <c:v>FGINX</c:v>
                </c:pt>
              </c:strCache>
            </c:strRef>
          </c:tx>
          <c:spPr>
            <a:ln w="28575" cap="rnd">
              <a:solidFill>
                <a:schemeClr val="accent1"/>
              </a:solidFill>
              <a:round/>
            </a:ln>
            <a:effectLst/>
          </c:spPr>
          <c:marker>
            <c:symbol val="none"/>
          </c:marker>
          <c:cat>
            <c:numRef>
              <c:f>'MF Data '!$A$2:$A$325</c:f>
              <c:numCache>
                <c:formatCode>m/d/yyyy</c:formatCode>
                <c:ptCount val="324"/>
                <c:pt idx="0">
                  <c:v>35825</c:v>
                </c:pt>
                <c:pt idx="1">
                  <c:v>35853</c:v>
                </c:pt>
                <c:pt idx="2">
                  <c:v>35885</c:v>
                </c:pt>
                <c:pt idx="3">
                  <c:v>35915</c:v>
                </c:pt>
                <c:pt idx="4">
                  <c:v>35944</c:v>
                </c:pt>
                <c:pt idx="5">
                  <c:v>35976</c:v>
                </c:pt>
                <c:pt idx="6">
                  <c:v>36007</c:v>
                </c:pt>
                <c:pt idx="7">
                  <c:v>36038</c:v>
                </c:pt>
                <c:pt idx="8">
                  <c:v>36068</c:v>
                </c:pt>
                <c:pt idx="9">
                  <c:v>36098</c:v>
                </c:pt>
                <c:pt idx="10">
                  <c:v>36129</c:v>
                </c:pt>
                <c:pt idx="11">
                  <c:v>36160</c:v>
                </c:pt>
                <c:pt idx="12">
                  <c:v>36189</c:v>
                </c:pt>
                <c:pt idx="13">
                  <c:v>36217</c:v>
                </c:pt>
                <c:pt idx="14">
                  <c:v>36250</c:v>
                </c:pt>
                <c:pt idx="15">
                  <c:v>36280</c:v>
                </c:pt>
                <c:pt idx="16">
                  <c:v>36308</c:v>
                </c:pt>
                <c:pt idx="17">
                  <c:v>36341</c:v>
                </c:pt>
                <c:pt idx="18">
                  <c:v>36371</c:v>
                </c:pt>
                <c:pt idx="19">
                  <c:v>36403</c:v>
                </c:pt>
                <c:pt idx="20">
                  <c:v>36433</c:v>
                </c:pt>
                <c:pt idx="21">
                  <c:v>36462</c:v>
                </c:pt>
                <c:pt idx="22">
                  <c:v>36494</c:v>
                </c:pt>
                <c:pt idx="23">
                  <c:v>36525</c:v>
                </c:pt>
                <c:pt idx="24">
                  <c:v>36556</c:v>
                </c:pt>
                <c:pt idx="25">
                  <c:v>36585</c:v>
                </c:pt>
                <c:pt idx="26">
                  <c:v>36616</c:v>
                </c:pt>
                <c:pt idx="27">
                  <c:v>36644</c:v>
                </c:pt>
                <c:pt idx="28">
                  <c:v>36677</c:v>
                </c:pt>
                <c:pt idx="29">
                  <c:v>36707</c:v>
                </c:pt>
                <c:pt idx="30">
                  <c:v>36738</c:v>
                </c:pt>
                <c:pt idx="31">
                  <c:v>36769</c:v>
                </c:pt>
                <c:pt idx="32">
                  <c:v>36798</c:v>
                </c:pt>
                <c:pt idx="33">
                  <c:v>36830</c:v>
                </c:pt>
                <c:pt idx="34">
                  <c:v>36860</c:v>
                </c:pt>
                <c:pt idx="35">
                  <c:v>36889</c:v>
                </c:pt>
                <c:pt idx="36">
                  <c:v>36922</c:v>
                </c:pt>
                <c:pt idx="37">
                  <c:v>36950</c:v>
                </c:pt>
                <c:pt idx="38">
                  <c:v>36980</c:v>
                </c:pt>
                <c:pt idx="39">
                  <c:v>37011</c:v>
                </c:pt>
                <c:pt idx="40">
                  <c:v>37042</c:v>
                </c:pt>
                <c:pt idx="41">
                  <c:v>37071</c:v>
                </c:pt>
                <c:pt idx="42">
                  <c:v>37103</c:v>
                </c:pt>
                <c:pt idx="43">
                  <c:v>37134</c:v>
                </c:pt>
                <c:pt idx="44">
                  <c:v>37162</c:v>
                </c:pt>
                <c:pt idx="45">
                  <c:v>37195</c:v>
                </c:pt>
                <c:pt idx="46">
                  <c:v>37225</c:v>
                </c:pt>
                <c:pt idx="47">
                  <c:v>37256</c:v>
                </c:pt>
                <c:pt idx="48">
                  <c:v>37287</c:v>
                </c:pt>
                <c:pt idx="49">
                  <c:v>37315</c:v>
                </c:pt>
                <c:pt idx="50">
                  <c:v>37343</c:v>
                </c:pt>
                <c:pt idx="51">
                  <c:v>37376</c:v>
                </c:pt>
                <c:pt idx="52">
                  <c:v>37407</c:v>
                </c:pt>
                <c:pt idx="53">
                  <c:v>37435</c:v>
                </c:pt>
                <c:pt idx="54">
                  <c:v>37468</c:v>
                </c:pt>
                <c:pt idx="55">
                  <c:v>37498</c:v>
                </c:pt>
                <c:pt idx="56">
                  <c:v>37529</c:v>
                </c:pt>
                <c:pt idx="57">
                  <c:v>37560</c:v>
                </c:pt>
                <c:pt idx="58">
                  <c:v>37589</c:v>
                </c:pt>
                <c:pt idx="59">
                  <c:v>37621</c:v>
                </c:pt>
                <c:pt idx="60">
                  <c:v>37652</c:v>
                </c:pt>
                <c:pt idx="61">
                  <c:v>37680</c:v>
                </c:pt>
                <c:pt idx="62">
                  <c:v>37711</c:v>
                </c:pt>
                <c:pt idx="63">
                  <c:v>37741</c:v>
                </c:pt>
                <c:pt idx="64">
                  <c:v>37771</c:v>
                </c:pt>
                <c:pt idx="65">
                  <c:v>37802</c:v>
                </c:pt>
                <c:pt idx="66">
                  <c:v>37833</c:v>
                </c:pt>
                <c:pt idx="67">
                  <c:v>37862</c:v>
                </c:pt>
                <c:pt idx="68">
                  <c:v>37894</c:v>
                </c:pt>
                <c:pt idx="69">
                  <c:v>37925</c:v>
                </c:pt>
                <c:pt idx="70">
                  <c:v>37953</c:v>
                </c:pt>
                <c:pt idx="71">
                  <c:v>37986</c:v>
                </c:pt>
                <c:pt idx="72">
                  <c:v>38016</c:v>
                </c:pt>
                <c:pt idx="73">
                  <c:v>38044</c:v>
                </c:pt>
                <c:pt idx="74">
                  <c:v>38077</c:v>
                </c:pt>
                <c:pt idx="75">
                  <c:v>38107</c:v>
                </c:pt>
                <c:pt idx="76">
                  <c:v>38135</c:v>
                </c:pt>
                <c:pt idx="77">
                  <c:v>38168</c:v>
                </c:pt>
                <c:pt idx="78">
                  <c:v>38198</c:v>
                </c:pt>
                <c:pt idx="79">
                  <c:v>38230</c:v>
                </c:pt>
                <c:pt idx="80">
                  <c:v>38260</c:v>
                </c:pt>
                <c:pt idx="81">
                  <c:v>38289</c:v>
                </c:pt>
                <c:pt idx="82">
                  <c:v>38321</c:v>
                </c:pt>
                <c:pt idx="83">
                  <c:v>38352</c:v>
                </c:pt>
                <c:pt idx="84">
                  <c:v>38383</c:v>
                </c:pt>
                <c:pt idx="85">
                  <c:v>38411</c:v>
                </c:pt>
                <c:pt idx="86">
                  <c:v>38442</c:v>
                </c:pt>
                <c:pt idx="87">
                  <c:v>38471</c:v>
                </c:pt>
                <c:pt idx="88">
                  <c:v>38503</c:v>
                </c:pt>
                <c:pt idx="89">
                  <c:v>38533</c:v>
                </c:pt>
                <c:pt idx="90">
                  <c:v>38562</c:v>
                </c:pt>
                <c:pt idx="91">
                  <c:v>38595</c:v>
                </c:pt>
                <c:pt idx="92">
                  <c:v>38625</c:v>
                </c:pt>
                <c:pt idx="93">
                  <c:v>38656</c:v>
                </c:pt>
                <c:pt idx="94">
                  <c:v>38686</c:v>
                </c:pt>
                <c:pt idx="95">
                  <c:v>38716</c:v>
                </c:pt>
                <c:pt idx="96">
                  <c:v>38748</c:v>
                </c:pt>
                <c:pt idx="97">
                  <c:v>38776</c:v>
                </c:pt>
                <c:pt idx="98">
                  <c:v>38807</c:v>
                </c:pt>
                <c:pt idx="99">
                  <c:v>38835</c:v>
                </c:pt>
                <c:pt idx="100">
                  <c:v>38868</c:v>
                </c:pt>
                <c:pt idx="101">
                  <c:v>38898</c:v>
                </c:pt>
                <c:pt idx="102">
                  <c:v>38929</c:v>
                </c:pt>
                <c:pt idx="103">
                  <c:v>38960</c:v>
                </c:pt>
                <c:pt idx="104">
                  <c:v>38989</c:v>
                </c:pt>
                <c:pt idx="105">
                  <c:v>39021</c:v>
                </c:pt>
                <c:pt idx="106">
                  <c:v>39051</c:v>
                </c:pt>
                <c:pt idx="107">
                  <c:v>39080</c:v>
                </c:pt>
                <c:pt idx="108">
                  <c:v>39113</c:v>
                </c:pt>
                <c:pt idx="109">
                  <c:v>39141</c:v>
                </c:pt>
                <c:pt idx="110">
                  <c:v>39171</c:v>
                </c:pt>
                <c:pt idx="111">
                  <c:v>39202</c:v>
                </c:pt>
                <c:pt idx="112">
                  <c:v>39233</c:v>
                </c:pt>
                <c:pt idx="113">
                  <c:v>39262</c:v>
                </c:pt>
                <c:pt idx="114">
                  <c:v>39294</c:v>
                </c:pt>
                <c:pt idx="115">
                  <c:v>39325</c:v>
                </c:pt>
                <c:pt idx="116">
                  <c:v>39353</c:v>
                </c:pt>
                <c:pt idx="117">
                  <c:v>39386</c:v>
                </c:pt>
                <c:pt idx="118">
                  <c:v>39416</c:v>
                </c:pt>
                <c:pt idx="119">
                  <c:v>39447</c:v>
                </c:pt>
                <c:pt idx="120">
                  <c:v>39478</c:v>
                </c:pt>
                <c:pt idx="121">
                  <c:v>39507</c:v>
                </c:pt>
                <c:pt idx="122">
                  <c:v>39538</c:v>
                </c:pt>
                <c:pt idx="123">
                  <c:v>39568</c:v>
                </c:pt>
                <c:pt idx="124">
                  <c:v>39598</c:v>
                </c:pt>
                <c:pt idx="125">
                  <c:v>39629</c:v>
                </c:pt>
                <c:pt idx="126">
                  <c:v>39660</c:v>
                </c:pt>
                <c:pt idx="127">
                  <c:v>39689</c:v>
                </c:pt>
                <c:pt idx="128">
                  <c:v>39721</c:v>
                </c:pt>
                <c:pt idx="129">
                  <c:v>39752</c:v>
                </c:pt>
                <c:pt idx="130">
                  <c:v>39780</c:v>
                </c:pt>
                <c:pt idx="131">
                  <c:v>39813</c:v>
                </c:pt>
                <c:pt idx="132">
                  <c:v>39843</c:v>
                </c:pt>
                <c:pt idx="133">
                  <c:v>39871</c:v>
                </c:pt>
                <c:pt idx="134">
                  <c:v>39903</c:v>
                </c:pt>
                <c:pt idx="135">
                  <c:v>39933</c:v>
                </c:pt>
                <c:pt idx="136">
                  <c:v>39962</c:v>
                </c:pt>
                <c:pt idx="137">
                  <c:v>39994</c:v>
                </c:pt>
                <c:pt idx="138">
                  <c:v>40025</c:v>
                </c:pt>
                <c:pt idx="139">
                  <c:v>40056</c:v>
                </c:pt>
                <c:pt idx="140">
                  <c:v>40086</c:v>
                </c:pt>
                <c:pt idx="141">
                  <c:v>40116</c:v>
                </c:pt>
                <c:pt idx="142">
                  <c:v>40147</c:v>
                </c:pt>
                <c:pt idx="143">
                  <c:v>40178</c:v>
                </c:pt>
                <c:pt idx="144">
                  <c:v>40207</c:v>
                </c:pt>
                <c:pt idx="145">
                  <c:v>40235</c:v>
                </c:pt>
                <c:pt idx="146">
                  <c:v>40268</c:v>
                </c:pt>
                <c:pt idx="147">
                  <c:v>40298</c:v>
                </c:pt>
                <c:pt idx="148">
                  <c:v>40326</c:v>
                </c:pt>
                <c:pt idx="149">
                  <c:v>40359</c:v>
                </c:pt>
                <c:pt idx="150">
                  <c:v>40389</c:v>
                </c:pt>
                <c:pt idx="151">
                  <c:v>40421</c:v>
                </c:pt>
                <c:pt idx="152">
                  <c:v>40451</c:v>
                </c:pt>
                <c:pt idx="153">
                  <c:v>40480</c:v>
                </c:pt>
                <c:pt idx="154">
                  <c:v>40512</c:v>
                </c:pt>
                <c:pt idx="155">
                  <c:v>40543</c:v>
                </c:pt>
                <c:pt idx="156">
                  <c:v>40574</c:v>
                </c:pt>
                <c:pt idx="157">
                  <c:v>40602</c:v>
                </c:pt>
                <c:pt idx="158">
                  <c:v>40633</c:v>
                </c:pt>
                <c:pt idx="159">
                  <c:v>40662</c:v>
                </c:pt>
                <c:pt idx="160">
                  <c:v>40694</c:v>
                </c:pt>
                <c:pt idx="161">
                  <c:v>40724</c:v>
                </c:pt>
                <c:pt idx="162">
                  <c:v>40753</c:v>
                </c:pt>
                <c:pt idx="163">
                  <c:v>40786</c:v>
                </c:pt>
                <c:pt idx="164">
                  <c:v>40816</c:v>
                </c:pt>
                <c:pt idx="165">
                  <c:v>40847</c:v>
                </c:pt>
                <c:pt idx="166">
                  <c:v>40877</c:v>
                </c:pt>
                <c:pt idx="167">
                  <c:v>40907</c:v>
                </c:pt>
                <c:pt idx="168">
                  <c:v>40939</c:v>
                </c:pt>
                <c:pt idx="169">
                  <c:v>40968</c:v>
                </c:pt>
                <c:pt idx="170">
                  <c:v>40998</c:v>
                </c:pt>
                <c:pt idx="171">
                  <c:v>41029</c:v>
                </c:pt>
                <c:pt idx="172">
                  <c:v>41060</c:v>
                </c:pt>
                <c:pt idx="173">
                  <c:v>41089</c:v>
                </c:pt>
                <c:pt idx="174">
                  <c:v>41121</c:v>
                </c:pt>
                <c:pt idx="175">
                  <c:v>41152</c:v>
                </c:pt>
                <c:pt idx="176">
                  <c:v>41180</c:v>
                </c:pt>
                <c:pt idx="177">
                  <c:v>41213</c:v>
                </c:pt>
                <c:pt idx="178">
                  <c:v>41243</c:v>
                </c:pt>
                <c:pt idx="179">
                  <c:v>41274</c:v>
                </c:pt>
                <c:pt idx="180">
                  <c:v>41305</c:v>
                </c:pt>
                <c:pt idx="181">
                  <c:v>41333</c:v>
                </c:pt>
                <c:pt idx="182">
                  <c:v>41361</c:v>
                </c:pt>
                <c:pt idx="183">
                  <c:v>41394</c:v>
                </c:pt>
                <c:pt idx="184">
                  <c:v>41425</c:v>
                </c:pt>
                <c:pt idx="185">
                  <c:v>41453</c:v>
                </c:pt>
                <c:pt idx="186">
                  <c:v>41486</c:v>
                </c:pt>
                <c:pt idx="187">
                  <c:v>41516</c:v>
                </c:pt>
                <c:pt idx="188">
                  <c:v>41547</c:v>
                </c:pt>
                <c:pt idx="189">
                  <c:v>41578</c:v>
                </c:pt>
                <c:pt idx="190">
                  <c:v>41607</c:v>
                </c:pt>
                <c:pt idx="191">
                  <c:v>41639</c:v>
                </c:pt>
                <c:pt idx="192">
                  <c:v>41670</c:v>
                </c:pt>
                <c:pt idx="193">
                  <c:v>41698</c:v>
                </c:pt>
                <c:pt idx="194">
                  <c:v>41729</c:v>
                </c:pt>
                <c:pt idx="195">
                  <c:v>41759</c:v>
                </c:pt>
                <c:pt idx="196">
                  <c:v>41789</c:v>
                </c:pt>
                <c:pt idx="197">
                  <c:v>41820</c:v>
                </c:pt>
                <c:pt idx="198">
                  <c:v>41851</c:v>
                </c:pt>
                <c:pt idx="199">
                  <c:v>41880</c:v>
                </c:pt>
                <c:pt idx="200">
                  <c:v>41912</c:v>
                </c:pt>
                <c:pt idx="201">
                  <c:v>41943</c:v>
                </c:pt>
                <c:pt idx="202">
                  <c:v>41971</c:v>
                </c:pt>
                <c:pt idx="203">
                  <c:v>42004</c:v>
                </c:pt>
                <c:pt idx="204">
                  <c:v>42034</c:v>
                </c:pt>
                <c:pt idx="205">
                  <c:v>42062</c:v>
                </c:pt>
                <c:pt idx="206">
                  <c:v>42094</c:v>
                </c:pt>
                <c:pt idx="207">
                  <c:v>42124</c:v>
                </c:pt>
                <c:pt idx="208">
                  <c:v>42153</c:v>
                </c:pt>
                <c:pt idx="209">
                  <c:v>42185</c:v>
                </c:pt>
                <c:pt idx="210">
                  <c:v>42216</c:v>
                </c:pt>
                <c:pt idx="211">
                  <c:v>42247</c:v>
                </c:pt>
                <c:pt idx="212">
                  <c:v>42277</c:v>
                </c:pt>
                <c:pt idx="213">
                  <c:v>42307</c:v>
                </c:pt>
                <c:pt idx="214">
                  <c:v>42338</c:v>
                </c:pt>
                <c:pt idx="215">
                  <c:v>42369</c:v>
                </c:pt>
                <c:pt idx="216">
                  <c:v>42398</c:v>
                </c:pt>
                <c:pt idx="217">
                  <c:v>42429</c:v>
                </c:pt>
                <c:pt idx="218">
                  <c:v>42460</c:v>
                </c:pt>
                <c:pt idx="219">
                  <c:v>42489</c:v>
                </c:pt>
                <c:pt idx="220">
                  <c:v>42521</c:v>
                </c:pt>
                <c:pt idx="221">
                  <c:v>42551</c:v>
                </c:pt>
                <c:pt idx="222">
                  <c:v>42580</c:v>
                </c:pt>
                <c:pt idx="223">
                  <c:v>42613</c:v>
                </c:pt>
                <c:pt idx="224">
                  <c:v>42643</c:v>
                </c:pt>
                <c:pt idx="225">
                  <c:v>42674</c:v>
                </c:pt>
                <c:pt idx="226">
                  <c:v>42704</c:v>
                </c:pt>
                <c:pt idx="227">
                  <c:v>42734</c:v>
                </c:pt>
                <c:pt idx="228">
                  <c:v>42766</c:v>
                </c:pt>
                <c:pt idx="229">
                  <c:v>42794</c:v>
                </c:pt>
                <c:pt idx="230">
                  <c:v>42825</c:v>
                </c:pt>
                <c:pt idx="231">
                  <c:v>42853</c:v>
                </c:pt>
                <c:pt idx="232">
                  <c:v>42886</c:v>
                </c:pt>
                <c:pt idx="233">
                  <c:v>42916</c:v>
                </c:pt>
                <c:pt idx="234">
                  <c:v>42947</c:v>
                </c:pt>
                <c:pt idx="235">
                  <c:v>42978</c:v>
                </c:pt>
                <c:pt idx="236">
                  <c:v>43007</c:v>
                </c:pt>
                <c:pt idx="237">
                  <c:v>43039</c:v>
                </c:pt>
                <c:pt idx="238">
                  <c:v>43069</c:v>
                </c:pt>
                <c:pt idx="239">
                  <c:v>43098</c:v>
                </c:pt>
                <c:pt idx="240">
                  <c:v>43131</c:v>
                </c:pt>
                <c:pt idx="241">
                  <c:v>43159</c:v>
                </c:pt>
                <c:pt idx="242">
                  <c:v>43188</c:v>
                </c:pt>
                <c:pt idx="243">
                  <c:v>43220</c:v>
                </c:pt>
                <c:pt idx="244">
                  <c:v>43251</c:v>
                </c:pt>
                <c:pt idx="245">
                  <c:v>43280</c:v>
                </c:pt>
                <c:pt idx="246">
                  <c:v>43312</c:v>
                </c:pt>
                <c:pt idx="247">
                  <c:v>43343</c:v>
                </c:pt>
                <c:pt idx="248">
                  <c:v>43371</c:v>
                </c:pt>
                <c:pt idx="249">
                  <c:v>43404</c:v>
                </c:pt>
                <c:pt idx="250">
                  <c:v>43434</c:v>
                </c:pt>
                <c:pt idx="251">
                  <c:v>43465</c:v>
                </c:pt>
                <c:pt idx="252">
                  <c:v>43496</c:v>
                </c:pt>
                <c:pt idx="253">
                  <c:v>43524</c:v>
                </c:pt>
                <c:pt idx="254">
                  <c:v>43553</c:v>
                </c:pt>
                <c:pt idx="255">
                  <c:v>43585</c:v>
                </c:pt>
                <c:pt idx="256">
                  <c:v>43616</c:v>
                </c:pt>
                <c:pt idx="257">
                  <c:v>43644</c:v>
                </c:pt>
                <c:pt idx="258">
                  <c:v>43677</c:v>
                </c:pt>
                <c:pt idx="259">
                  <c:v>43707</c:v>
                </c:pt>
                <c:pt idx="260">
                  <c:v>43738</c:v>
                </c:pt>
                <c:pt idx="261">
                  <c:v>43769</c:v>
                </c:pt>
                <c:pt idx="262">
                  <c:v>43798</c:v>
                </c:pt>
                <c:pt idx="263">
                  <c:v>43830</c:v>
                </c:pt>
                <c:pt idx="264">
                  <c:v>43861</c:v>
                </c:pt>
                <c:pt idx="265">
                  <c:v>43889</c:v>
                </c:pt>
                <c:pt idx="266">
                  <c:v>43921</c:v>
                </c:pt>
                <c:pt idx="267">
                  <c:v>43951</c:v>
                </c:pt>
                <c:pt idx="268">
                  <c:v>43980</c:v>
                </c:pt>
                <c:pt idx="269">
                  <c:v>44012</c:v>
                </c:pt>
                <c:pt idx="270">
                  <c:v>44043</c:v>
                </c:pt>
                <c:pt idx="271">
                  <c:v>44074</c:v>
                </c:pt>
                <c:pt idx="272">
                  <c:v>44104</c:v>
                </c:pt>
                <c:pt idx="273">
                  <c:v>44134</c:v>
                </c:pt>
                <c:pt idx="274">
                  <c:v>44165</c:v>
                </c:pt>
                <c:pt idx="275">
                  <c:v>44196</c:v>
                </c:pt>
                <c:pt idx="276">
                  <c:v>44225</c:v>
                </c:pt>
                <c:pt idx="277">
                  <c:v>44253</c:v>
                </c:pt>
                <c:pt idx="278">
                  <c:v>44286</c:v>
                </c:pt>
                <c:pt idx="279">
                  <c:v>44316</c:v>
                </c:pt>
                <c:pt idx="280">
                  <c:v>44344</c:v>
                </c:pt>
                <c:pt idx="281">
                  <c:v>44377</c:v>
                </c:pt>
                <c:pt idx="282">
                  <c:v>44407</c:v>
                </c:pt>
                <c:pt idx="283">
                  <c:v>44439</c:v>
                </c:pt>
                <c:pt idx="284">
                  <c:v>44469</c:v>
                </c:pt>
                <c:pt idx="285">
                  <c:v>44498</c:v>
                </c:pt>
                <c:pt idx="286">
                  <c:v>44530</c:v>
                </c:pt>
                <c:pt idx="287">
                  <c:v>44561</c:v>
                </c:pt>
                <c:pt idx="288">
                  <c:v>44592</c:v>
                </c:pt>
                <c:pt idx="289">
                  <c:v>44620</c:v>
                </c:pt>
                <c:pt idx="290">
                  <c:v>44651</c:v>
                </c:pt>
                <c:pt idx="291">
                  <c:v>44680</c:v>
                </c:pt>
                <c:pt idx="292">
                  <c:v>44712</c:v>
                </c:pt>
                <c:pt idx="293">
                  <c:v>44742</c:v>
                </c:pt>
                <c:pt idx="294">
                  <c:v>44771</c:v>
                </c:pt>
                <c:pt idx="295">
                  <c:v>44804</c:v>
                </c:pt>
                <c:pt idx="296">
                  <c:v>44834</c:v>
                </c:pt>
                <c:pt idx="297">
                  <c:v>44865</c:v>
                </c:pt>
                <c:pt idx="298">
                  <c:v>44895</c:v>
                </c:pt>
                <c:pt idx="299">
                  <c:v>44925</c:v>
                </c:pt>
                <c:pt idx="300">
                  <c:v>44957</c:v>
                </c:pt>
                <c:pt idx="301">
                  <c:v>44985</c:v>
                </c:pt>
                <c:pt idx="302">
                  <c:v>45016</c:v>
                </c:pt>
                <c:pt idx="303">
                  <c:v>45044</c:v>
                </c:pt>
                <c:pt idx="304">
                  <c:v>45077</c:v>
                </c:pt>
                <c:pt idx="305">
                  <c:v>45107</c:v>
                </c:pt>
                <c:pt idx="306">
                  <c:v>45138</c:v>
                </c:pt>
                <c:pt idx="307">
                  <c:v>45169</c:v>
                </c:pt>
                <c:pt idx="308">
                  <c:v>45198</c:v>
                </c:pt>
                <c:pt idx="309">
                  <c:v>45230</c:v>
                </c:pt>
                <c:pt idx="310">
                  <c:v>45260</c:v>
                </c:pt>
                <c:pt idx="311">
                  <c:v>45289</c:v>
                </c:pt>
                <c:pt idx="312">
                  <c:v>45322</c:v>
                </c:pt>
                <c:pt idx="313">
                  <c:v>45351</c:v>
                </c:pt>
                <c:pt idx="314">
                  <c:v>45379</c:v>
                </c:pt>
                <c:pt idx="315">
                  <c:v>45412</c:v>
                </c:pt>
                <c:pt idx="316">
                  <c:v>45443</c:v>
                </c:pt>
                <c:pt idx="317">
                  <c:v>45471</c:v>
                </c:pt>
                <c:pt idx="318">
                  <c:v>45504</c:v>
                </c:pt>
                <c:pt idx="319">
                  <c:v>45534</c:v>
                </c:pt>
                <c:pt idx="320">
                  <c:v>45565</c:v>
                </c:pt>
                <c:pt idx="321">
                  <c:v>45596</c:v>
                </c:pt>
                <c:pt idx="322">
                  <c:v>45625</c:v>
                </c:pt>
                <c:pt idx="323">
                  <c:v>45657</c:v>
                </c:pt>
              </c:numCache>
            </c:numRef>
          </c:cat>
          <c:val>
            <c:numRef>
              <c:f>'MF Data '!$M$2:$M$325</c:f>
              <c:numCache>
                <c:formatCode>General</c:formatCode>
                <c:ptCount val="324"/>
                <c:pt idx="0">
                  <c:v>1011.735</c:v>
                </c:pt>
                <c:pt idx="1">
                  <c:v>1068.7341264300001</c:v>
                </c:pt>
                <c:pt idx="2">
                  <c:v>1122.3803046402802</c:v>
                </c:pt>
                <c:pt idx="3">
                  <c:v>1143.3463687309606</c:v>
                </c:pt>
                <c:pt idx="4">
                  <c:v>1117.3420989205438</c:v>
                </c:pt>
                <c:pt idx="5">
                  <c:v>1158.4457627135337</c:v>
                </c:pt>
                <c:pt idx="6">
                  <c:v>1131.5744548016305</c:v>
                </c:pt>
                <c:pt idx="7">
                  <c:v>981.31381452297671</c:v>
                </c:pt>
                <c:pt idx="8">
                  <c:v>1033.3597553038319</c:v>
                </c:pt>
                <c:pt idx="9">
                  <c:v>1103.3946793597938</c:v>
                </c:pt>
                <c:pt idx="10">
                  <c:v>1164.0758697511856</c:v>
                </c:pt>
                <c:pt idx="11">
                  <c:v>1234.0880488615007</c:v>
                </c:pt>
                <c:pt idx="12">
                  <c:v>1284.5968045253044</c:v>
                </c:pt>
                <c:pt idx="13">
                  <c:v>1240.8228838143002</c:v>
                </c:pt>
                <c:pt idx="14">
                  <c:v>1296.3819692599693</c:v>
                </c:pt>
                <c:pt idx="15">
                  <c:v>1341.7812658234534</c:v>
                </c:pt>
                <c:pt idx="16">
                  <c:v>1294.6122872046958</c:v>
                </c:pt>
                <c:pt idx="17">
                  <c:v>1366.2082305239771</c:v>
                </c:pt>
                <c:pt idx="18">
                  <c:v>1306.5650440122224</c:v>
                </c:pt>
                <c:pt idx="19">
                  <c:v>1292.2437845648044</c:v>
                </c:pt>
                <c:pt idx="20">
                  <c:v>1278.7656818917935</c:v>
                </c:pt>
                <c:pt idx="21">
                  <c:v>1349.4865391631372</c:v>
                </c:pt>
                <c:pt idx="22">
                  <c:v>1396.2583931239924</c:v>
                </c:pt>
                <c:pt idx="23">
                  <c:v>1520.4737285514821</c:v>
                </c:pt>
                <c:pt idx="24">
                  <c:v>1438.2860416283602</c:v>
                </c:pt>
                <c:pt idx="25">
                  <c:v>1526.0775833233138</c:v>
                </c:pt>
                <c:pt idx="26">
                  <c:v>1623.2078432690928</c:v>
                </c:pt>
                <c:pt idx="27">
                  <c:v>1594.2546849687019</c:v>
                </c:pt>
                <c:pt idx="28">
                  <c:v>1532.6144218290719</c:v>
                </c:pt>
                <c:pt idx="29">
                  <c:v>1565.3020222178425</c:v>
                </c:pt>
                <c:pt idx="30">
                  <c:v>1512.0661004422136</c:v>
                </c:pt>
                <c:pt idx="31">
                  <c:v>1620.4041244727978</c:v>
                </c:pt>
                <c:pt idx="32">
                  <c:v>1551.2922681599084</c:v>
                </c:pt>
                <c:pt idx="33">
                  <c:v>1531.6792800135627</c:v>
                </c:pt>
                <c:pt idx="34">
                  <c:v>1408.7497643582342</c:v>
                </c:pt>
                <c:pt idx="35">
                  <c:v>1471.4292676238249</c:v>
                </c:pt>
                <c:pt idx="36">
                  <c:v>1457.0431036742666</c:v>
                </c:pt>
                <c:pt idx="37">
                  <c:v>1371.7579996869008</c:v>
                </c:pt>
                <c:pt idx="38">
                  <c:v>1314.2154951160346</c:v>
                </c:pt>
                <c:pt idx="39">
                  <c:v>1415.0959907366366</c:v>
                </c:pt>
                <c:pt idx="40">
                  <c:v>1428.4757233290516</c:v>
                </c:pt>
                <c:pt idx="41">
                  <c:v>1361.5802052055519</c:v>
                </c:pt>
                <c:pt idx="42">
                  <c:v>1302.8729514977042</c:v>
                </c:pt>
                <c:pt idx="43">
                  <c:v>1233.8675884945799</c:v>
                </c:pt>
                <c:pt idx="44">
                  <c:v>1149.4130536648913</c:v>
                </c:pt>
                <c:pt idx="45">
                  <c:v>1159.7221393432117</c:v>
                </c:pt>
                <c:pt idx="46">
                  <c:v>1225.6975721283077</c:v>
                </c:pt>
                <c:pt idx="47">
                  <c:v>1243.2225960145981</c:v>
                </c:pt>
                <c:pt idx="48">
                  <c:v>1208.115233125742</c:v>
                </c:pt>
                <c:pt idx="49">
                  <c:v>1194.6918647704817</c:v>
                </c:pt>
                <c:pt idx="50">
                  <c:v>1238.8859062320712</c:v>
                </c:pt>
                <c:pt idx="51">
                  <c:v>1197.5554335142631</c:v>
                </c:pt>
                <c:pt idx="52">
                  <c:v>1176.8904169535408</c:v>
                </c:pt>
                <c:pt idx="53">
                  <c:v>1093.1958549518897</c:v>
                </c:pt>
                <c:pt idx="54">
                  <c:v>1004.3354298821253</c:v>
                </c:pt>
                <c:pt idx="55">
                  <c:v>1012.6011104700551</c:v>
                </c:pt>
                <c:pt idx="56">
                  <c:v>913.40771828951893</c:v>
                </c:pt>
                <c:pt idx="57">
                  <c:v>949.61337342707895</c:v>
                </c:pt>
                <c:pt idx="58">
                  <c:v>1012.714232477935</c:v>
                </c:pt>
                <c:pt idx="59">
                  <c:v>959.44040027843323</c:v>
                </c:pt>
                <c:pt idx="60">
                  <c:v>940.79079777782113</c:v>
                </c:pt>
                <c:pt idx="61">
                  <c:v>920.06893966596681</c:v>
                </c:pt>
                <c:pt idx="62">
                  <c:v>922.14093491809444</c:v>
                </c:pt>
                <c:pt idx="63">
                  <c:v>989.56419151556577</c:v>
                </c:pt>
                <c:pt idx="64">
                  <c:v>1055.9500948675791</c:v>
                </c:pt>
                <c:pt idx="65">
                  <c:v>1073.5834055017729</c:v>
                </c:pt>
                <c:pt idx="66">
                  <c:v>1093.310500577868</c:v>
                </c:pt>
                <c:pt idx="67">
                  <c:v>1119.2678784825875</c:v>
                </c:pt>
                <c:pt idx="68">
                  <c:v>1109.7160464076171</c:v>
                </c:pt>
                <c:pt idx="69">
                  <c:v>1176.2157804885935</c:v>
                </c:pt>
                <c:pt idx="70">
                  <c:v>1194.9187876141425</c:v>
                </c:pt>
                <c:pt idx="71">
                  <c:v>1245.8330822355933</c:v>
                </c:pt>
                <c:pt idx="72">
                  <c:v>1271.8311269956857</c:v>
                </c:pt>
                <c:pt idx="73">
                  <c:v>1296.7895410318492</c:v>
                </c:pt>
                <c:pt idx="74">
                  <c:v>1283.7905226725459</c:v>
                </c:pt>
                <c:pt idx="75">
                  <c:v>1243.21632320348</c:v>
                </c:pt>
                <c:pt idx="76">
                  <c:v>1252.5789853335255</c:v>
                </c:pt>
                <c:pt idx="77">
                  <c:v>1274.9462882746263</c:v>
                </c:pt>
                <c:pt idx="78">
                  <c:v>1232.2751109523629</c:v>
                </c:pt>
                <c:pt idx="79">
                  <c:v>1237.4790087459148</c:v>
                </c:pt>
                <c:pt idx="80">
                  <c:v>1264.5389622301618</c:v>
                </c:pt>
                <c:pt idx="81">
                  <c:v>1267.6636380058324</c:v>
                </c:pt>
                <c:pt idx="82">
                  <c:v>1335.3695529117238</c:v>
                </c:pt>
                <c:pt idx="83">
                  <c:v>1381.200771337207</c:v>
                </c:pt>
                <c:pt idx="84">
                  <c:v>1342.5147189328231</c:v>
                </c:pt>
                <c:pt idx="85">
                  <c:v>1380.1548041075428</c:v>
                </c:pt>
                <c:pt idx="86">
                  <c:v>1366.3008101839112</c:v>
                </c:pt>
                <c:pt idx="87">
                  <c:v>1324.4223240509641</c:v>
                </c:pt>
                <c:pt idx="88">
                  <c:v>1368.395794054104</c:v>
                </c:pt>
                <c:pt idx="89">
                  <c:v>1398.4963963359123</c:v>
                </c:pt>
                <c:pt idx="90">
                  <c:v>1458.2527488549495</c:v>
                </c:pt>
                <c:pt idx="91">
                  <c:v>1447.7693698434312</c:v>
                </c:pt>
                <c:pt idx="92">
                  <c:v>1434.4035630210365</c:v>
                </c:pt>
                <c:pt idx="93">
                  <c:v>1407.1212072523763</c:v>
                </c:pt>
                <c:pt idx="94">
                  <c:v>1467.9806065872488</c:v>
                </c:pt>
                <c:pt idx="95">
                  <c:v>1473.4899378037705</c:v>
                </c:pt>
                <c:pt idx="96">
                  <c:v>1536.5052084838867</c:v>
                </c:pt>
                <c:pt idx="97">
                  <c:v>1527.0526284412938</c:v>
                </c:pt>
                <c:pt idx="98">
                  <c:v>1559.8720435317541</c:v>
                </c:pt>
                <c:pt idx="99">
                  <c:v>1584.0485003344527</c:v>
                </c:pt>
                <c:pt idx="100">
                  <c:v>1519.9293851379148</c:v>
                </c:pt>
                <c:pt idx="101">
                  <c:v>1504.4245854801229</c:v>
                </c:pt>
                <c:pt idx="102">
                  <c:v>1490.7478615735231</c:v>
                </c:pt>
                <c:pt idx="103">
                  <c:v>1519.1525713279448</c:v>
                </c:pt>
                <c:pt idx="104">
                  <c:v>1549.9245258127637</c:v>
                </c:pt>
                <c:pt idx="105">
                  <c:v>1604.7081581021419</c:v>
                </c:pt>
                <c:pt idx="106">
                  <c:v>1648.0208359974768</c:v>
                </c:pt>
                <c:pt idx="107">
                  <c:v>1682.3655902196642</c:v>
                </c:pt>
                <c:pt idx="108">
                  <c:v>1711.2804076187697</c:v>
                </c:pt>
                <c:pt idx="109">
                  <c:v>1689.8620220370133</c:v>
                </c:pt>
                <c:pt idx="110">
                  <c:v>1721.1853044774916</c:v>
                </c:pt>
                <c:pt idx="111">
                  <c:v>1789.7762600462243</c:v>
                </c:pt>
                <c:pt idx="112">
                  <c:v>1864.7965217623218</c:v>
                </c:pt>
                <c:pt idx="113">
                  <c:v>1838.4320285376461</c:v>
                </c:pt>
                <c:pt idx="114">
                  <c:v>1757.9877582649242</c:v>
                </c:pt>
                <c:pt idx="115">
                  <c:v>1771.9321171634817</c:v>
                </c:pt>
                <c:pt idx="116">
                  <c:v>1809.9453768729898</c:v>
                </c:pt>
                <c:pt idx="117">
                  <c:v>1837.8565445297479</c:v>
                </c:pt>
                <c:pt idx="118">
                  <c:v>1743.38704242783</c:v>
                </c:pt>
                <c:pt idx="119">
                  <c:v>1723.2561522489159</c:v>
                </c:pt>
                <c:pt idx="120">
                  <c:v>1619.5109621150743</c:v>
                </c:pt>
                <c:pt idx="121">
                  <c:v>1579.1057831212654</c:v>
                </c:pt>
                <c:pt idx="122">
                  <c:v>1567.9115022247188</c:v>
                </c:pt>
                <c:pt idx="123">
                  <c:v>1636.7945582519574</c:v>
                </c:pt>
                <c:pt idx="124">
                  <c:v>1684.9032239080991</c:v>
                </c:pt>
                <c:pt idx="125">
                  <c:v>1514.3354158422105</c:v>
                </c:pt>
                <c:pt idx="126">
                  <c:v>1532.9496267737429</c:v>
                </c:pt>
                <c:pt idx="127">
                  <c:v>1581.1287005936147</c:v>
                </c:pt>
                <c:pt idx="128">
                  <c:v>1425.6436664346397</c:v>
                </c:pt>
                <c:pt idx="129">
                  <c:v>1159.1580753736775</c:v>
                </c:pt>
                <c:pt idx="130">
                  <c:v>1070.3294737416418</c:v>
                </c:pt>
                <c:pt idx="131">
                  <c:v>1105.3121222614136</c:v>
                </c:pt>
                <c:pt idx="132">
                  <c:v>1034.1454959574901</c:v>
                </c:pt>
                <c:pt idx="133">
                  <c:v>925.17138017547359</c:v>
                </c:pt>
                <c:pt idx="134">
                  <c:v>993.00217025579889</c:v>
                </c:pt>
                <c:pt idx="135">
                  <c:v>1095.3052258442324</c:v>
                </c:pt>
                <c:pt idx="136">
                  <c:v>1157.5766138491547</c:v>
                </c:pt>
                <c:pt idx="137">
                  <c:v>1160.8016222953383</c:v>
                </c:pt>
                <c:pt idx="138">
                  <c:v>1237.5944536182865</c:v>
                </c:pt>
                <c:pt idx="139">
                  <c:v>1274.3213066238627</c:v>
                </c:pt>
                <c:pt idx="140">
                  <c:v>1326.8526538468182</c:v>
                </c:pt>
                <c:pt idx="141">
                  <c:v>1305.6853734599999</c:v>
                </c:pt>
                <c:pt idx="142">
                  <c:v>1365.8448270421695</c:v>
                </c:pt>
                <c:pt idx="143">
                  <c:v>1408.4018201631495</c:v>
                </c:pt>
                <c:pt idx="144">
                  <c:v>1363.7963261167624</c:v>
                </c:pt>
                <c:pt idx="145">
                  <c:v>1406.1708417655364</c:v>
                </c:pt>
                <c:pt idx="146">
                  <c:v>1492.5926955296043</c:v>
                </c:pt>
                <c:pt idx="147">
                  <c:v>1523.8505717593853</c:v>
                </c:pt>
                <c:pt idx="148">
                  <c:v>1395.4676849392288</c:v>
                </c:pt>
                <c:pt idx="149">
                  <c:v>1305.0413789551667</c:v>
                </c:pt>
                <c:pt idx="150">
                  <c:v>1403.4506342180389</c:v>
                </c:pt>
                <c:pt idx="151">
                  <c:v>1321.8161211774782</c:v>
                </c:pt>
                <c:pt idx="152">
                  <c:v>1446.3933251500919</c:v>
                </c:pt>
                <c:pt idx="153">
                  <c:v>1494.569794024191</c:v>
                </c:pt>
                <c:pt idx="154">
                  <c:v>1509.1343766669565</c:v>
                </c:pt>
                <c:pt idx="155">
                  <c:v>1618.863537194411</c:v>
                </c:pt>
                <c:pt idx="156">
                  <c:v>1645.9568373528969</c:v>
                </c:pt>
                <c:pt idx="157">
                  <c:v>1712.562126733219</c:v>
                </c:pt>
                <c:pt idx="158">
                  <c:v>1723.1731616704581</c:v>
                </c:pt>
                <c:pt idx="159">
                  <c:v>1785.3607579019833</c:v>
                </c:pt>
                <c:pt idx="160">
                  <c:v>1774.0540682221899</c:v>
                </c:pt>
                <c:pt idx="161">
                  <c:v>1758.6765675588399</c:v>
                </c:pt>
                <c:pt idx="162">
                  <c:v>1697.5256246282515</c:v>
                </c:pt>
                <c:pt idx="163">
                  <c:v>1576.3545480166622</c:v>
                </c:pt>
                <c:pt idx="164">
                  <c:v>1449.9750511930704</c:v>
                </c:pt>
                <c:pt idx="165">
                  <c:v>1628.1015862820368</c:v>
                </c:pt>
                <c:pt idx="166">
                  <c:v>1632.06764174622</c:v>
                </c:pt>
                <c:pt idx="167">
                  <c:v>1645.4554926114643</c:v>
                </c:pt>
                <c:pt idx="168">
                  <c:v>1741.2407477473628</c:v>
                </c:pt>
                <c:pt idx="169">
                  <c:v>1825.6230156239478</c:v>
                </c:pt>
                <c:pt idx="170">
                  <c:v>1877.392207477996</c:v>
                </c:pt>
                <c:pt idx="171">
                  <c:v>1875.1074211614953</c:v>
                </c:pt>
                <c:pt idx="172">
                  <c:v>1734.6449993497088</c:v>
                </c:pt>
                <c:pt idx="173">
                  <c:v>1792.200520428132</c:v>
                </c:pt>
                <c:pt idx="174">
                  <c:v>1829.942471187828</c:v>
                </c:pt>
                <c:pt idx="175">
                  <c:v>1869.9724627450619</c:v>
                </c:pt>
                <c:pt idx="176">
                  <c:v>1908.1722602140178</c:v>
                </c:pt>
                <c:pt idx="177">
                  <c:v>1878.3933239211178</c:v>
                </c:pt>
                <c:pt idx="178">
                  <c:v>1902.4461504339276</c:v>
                </c:pt>
                <c:pt idx="179">
                  <c:v>1921.765491091584</c:v>
                </c:pt>
                <c:pt idx="180">
                  <c:v>2037.2559100442236</c:v>
                </c:pt>
                <c:pt idx="181">
                  <c:v>2066.1279008013703</c:v>
                </c:pt>
                <c:pt idx="182">
                  <c:v>2153.3226304709897</c:v>
                </c:pt>
                <c:pt idx="183">
                  <c:v>2178.7641373500041</c:v>
                </c:pt>
                <c:pt idx="184">
                  <c:v>2256.2475263665824</c:v>
                </c:pt>
                <c:pt idx="185">
                  <c:v>2230.8060792592728</c:v>
                </c:pt>
                <c:pt idx="186">
                  <c:v>2369.7964520275218</c:v>
                </c:pt>
                <c:pt idx="187">
                  <c:v>2308.4092447342009</c:v>
                </c:pt>
                <c:pt idx="188">
                  <c:v>2382.5368824011052</c:v>
                </c:pt>
                <c:pt idx="189">
                  <c:v>2481.1334062055103</c:v>
                </c:pt>
                <c:pt idx="190">
                  <c:v>2556.5300881532835</c:v>
                </c:pt>
                <c:pt idx="191">
                  <c:v>2634.394325048168</c:v>
                </c:pt>
                <c:pt idx="192">
                  <c:v>2497.4479704548639</c:v>
                </c:pt>
                <c:pt idx="193">
                  <c:v>2621.1790352551088</c:v>
                </c:pt>
                <c:pt idx="194">
                  <c:v>2637.1551214749884</c:v>
                </c:pt>
                <c:pt idx="195">
                  <c:v>2646.7807376683718</c:v>
                </c:pt>
                <c:pt idx="196">
                  <c:v>2703.3265613479189</c:v>
                </c:pt>
                <c:pt idx="197">
                  <c:v>2768.6551510294526</c:v>
                </c:pt>
                <c:pt idx="198">
                  <c:v>2718.0524408340871</c:v>
                </c:pt>
                <c:pt idx="199">
                  <c:v>2832.5096291176105</c:v>
                </c:pt>
                <c:pt idx="200">
                  <c:v>2746.1237504487817</c:v>
                </c:pt>
                <c:pt idx="201">
                  <c:v>2791.9730325862747</c:v>
                </c:pt>
                <c:pt idx="202">
                  <c:v>2835.4077570542195</c:v>
                </c:pt>
                <c:pt idx="203">
                  <c:v>2824.3695146560071</c:v>
                </c:pt>
                <c:pt idx="204">
                  <c:v>2743.2395003475135</c:v>
                </c:pt>
                <c:pt idx="205">
                  <c:v>2932.122512904441</c:v>
                </c:pt>
                <c:pt idx="206">
                  <c:v>2898.3004797180884</c:v>
                </c:pt>
                <c:pt idx="207">
                  <c:v>2914.8034026496034</c:v>
                </c:pt>
                <c:pt idx="208">
                  <c:v>2985.8954576402271</c:v>
                </c:pt>
                <c:pt idx="209">
                  <c:v>2887.4176395517948</c:v>
                </c:pt>
                <c:pt idx="210">
                  <c:v>2865.8024311021099</c:v>
                </c:pt>
                <c:pt idx="211">
                  <c:v>2694.1580602936801</c:v>
                </c:pt>
                <c:pt idx="212">
                  <c:v>2591.9093735894144</c:v>
                </c:pt>
                <c:pt idx="213">
                  <c:v>2776.5906921857809</c:v>
                </c:pt>
                <c:pt idx="214">
                  <c:v>2782.9601912336552</c:v>
                </c:pt>
                <c:pt idx="215">
                  <c:v>2724.879812042609</c:v>
                </c:pt>
                <c:pt idx="216">
                  <c:v>2538.8495423946483</c:v>
                </c:pt>
                <c:pt idx="217">
                  <c:v>2540.18751610349</c:v>
                </c:pt>
                <c:pt idx="218">
                  <c:v>2719.5476164280412</c:v>
                </c:pt>
                <c:pt idx="219">
                  <c:v>2719.5476164280412</c:v>
                </c:pt>
                <c:pt idx="220">
                  <c:v>2758.4371473429624</c:v>
                </c:pt>
                <c:pt idx="221">
                  <c:v>2749.223967270837</c:v>
                </c:pt>
                <c:pt idx="222">
                  <c:v>2878.2203050391518</c:v>
                </c:pt>
                <c:pt idx="223">
                  <c:v>2903.7501191448487</c:v>
                </c:pt>
                <c:pt idx="224">
                  <c:v>2895.6893088141028</c:v>
                </c:pt>
                <c:pt idx="225">
                  <c:v>2804.1478826945627</c:v>
                </c:pt>
                <c:pt idx="226">
                  <c:v>2923.9607092784531</c:v>
                </c:pt>
                <c:pt idx="227">
                  <c:v>2981.9867095540844</c:v>
                </c:pt>
                <c:pt idx="228">
                  <c:v>3024.1251637467931</c:v>
                </c:pt>
                <c:pt idx="229">
                  <c:v>3115.4235024403088</c:v>
                </c:pt>
                <c:pt idx="230">
                  <c:v>3109.8063938654091</c:v>
                </c:pt>
                <c:pt idx="231">
                  <c:v>3146.3932660892356</c:v>
                </c:pt>
                <c:pt idx="232">
                  <c:v>3147.7997038791777</c:v>
                </c:pt>
                <c:pt idx="233">
                  <c:v>3192.7975006461306</c:v>
                </c:pt>
                <c:pt idx="234">
                  <c:v>3218.1706623837654</c:v>
                </c:pt>
                <c:pt idx="235">
                  <c:v>3188.5699286311592</c:v>
                </c:pt>
                <c:pt idx="236">
                  <c:v>3300.8044015490473</c:v>
                </c:pt>
                <c:pt idx="237">
                  <c:v>3354.6372205339103</c:v>
                </c:pt>
                <c:pt idx="238">
                  <c:v>3480.7179058304569</c:v>
                </c:pt>
                <c:pt idx="239">
                  <c:v>3520.8436218488705</c:v>
                </c:pt>
                <c:pt idx="240">
                  <c:v>3658.2480650351445</c:v>
                </c:pt>
                <c:pt idx="241">
                  <c:v>3482.4290047814902</c:v>
                </c:pt>
                <c:pt idx="242">
                  <c:v>3402.4759172607123</c:v>
                </c:pt>
                <c:pt idx="243">
                  <c:v>3398.0254787609356</c:v>
                </c:pt>
                <c:pt idx="244">
                  <c:v>3448.4759630440994</c:v>
                </c:pt>
                <c:pt idx="245">
                  <c:v>3436.7235569620452</c:v>
                </c:pt>
                <c:pt idx="246">
                  <c:v>3585.5646174905146</c:v>
                </c:pt>
                <c:pt idx="247">
                  <c:v>3628.7276443558653</c:v>
                </c:pt>
                <c:pt idx="248">
                  <c:v>3642.4841508556187</c:v>
                </c:pt>
                <c:pt idx="249">
                  <c:v>3424.6198888246427</c:v>
                </c:pt>
                <c:pt idx="250">
                  <c:v>3490.2767013331886</c:v>
                </c:pt>
                <c:pt idx="251">
                  <c:v>3152.9519289794398</c:v>
                </c:pt>
                <c:pt idx="252">
                  <c:v>3364.1366491824829</c:v>
                </c:pt>
                <c:pt idx="253">
                  <c:v>3462.3189772888736</c:v>
                </c:pt>
                <c:pt idx="254">
                  <c:v>3486.9464521743289</c:v>
                </c:pt>
                <c:pt idx="255">
                  <c:v>3622.6339994677883</c:v>
                </c:pt>
                <c:pt idx="256">
                  <c:v>3420.0345704135525</c:v>
                </c:pt>
                <c:pt idx="257">
                  <c:v>3633.8995922052231</c:v>
                </c:pt>
                <c:pt idx="258">
                  <c:v>3678.6692351811921</c:v>
                </c:pt>
                <c:pt idx="259">
                  <c:v>3622.7056401063805</c:v>
                </c:pt>
                <c:pt idx="260">
                  <c:v>3716.1642002098447</c:v>
                </c:pt>
                <c:pt idx="261">
                  <c:v>3716.1642002098447</c:v>
                </c:pt>
                <c:pt idx="262">
                  <c:v>3813.5128375985423</c:v>
                </c:pt>
                <c:pt idx="263">
                  <c:v>3945.8722411659123</c:v>
                </c:pt>
                <c:pt idx="264">
                  <c:v>3835.7942432541072</c:v>
                </c:pt>
                <c:pt idx="265">
                  <c:v>3398.3065666340035</c:v>
                </c:pt>
                <c:pt idx="266">
                  <c:v>2901.5421127234449</c:v>
                </c:pt>
                <c:pt idx="267">
                  <c:v>3233.7135553301378</c:v>
                </c:pt>
                <c:pt idx="268">
                  <c:v>3372.8279124804403</c:v>
                </c:pt>
                <c:pt idx="269">
                  <c:v>3332.171844823401</c:v>
                </c:pt>
                <c:pt idx="270">
                  <c:v>3411.9840248506111</c:v>
                </c:pt>
                <c:pt idx="271">
                  <c:v>3500.3475871261921</c:v>
                </c:pt>
                <c:pt idx="272">
                  <c:v>3419.2025293614324</c:v>
                </c:pt>
                <c:pt idx="273">
                  <c:v>3321.8373181353363</c:v>
                </c:pt>
                <c:pt idx="274">
                  <c:v>3782.8850850312938</c:v>
                </c:pt>
                <c:pt idx="275">
                  <c:v>3942.5568815853794</c:v>
                </c:pt>
                <c:pt idx="276">
                  <c:v>3879.1605669294868</c:v>
                </c:pt>
                <c:pt idx="277">
                  <c:v>3999.9110770568682</c:v>
                </c:pt>
                <c:pt idx="278">
                  <c:v>4285.6287252021175</c:v>
                </c:pt>
                <c:pt idx="279">
                  <c:v>4409.8048175148488</c:v>
                </c:pt>
                <c:pt idx="280">
                  <c:v>4537.0100472808817</c:v>
                </c:pt>
                <c:pt idx="281">
                  <c:v>4497.0888958748574</c:v>
                </c:pt>
                <c:pt idx="282">
                  <c:v>4536.6183072695976</c:v>
                </c:pt>
                <c:pt idx="283">
                  <c:v>4643.0382995215277</c:v>
                </c:pt>
                <c:pt idx="284">
                  <c:v>4475.4803333683949</c:v>
                </c:pt>
                <c:pt idx="285">
                  <c:v>4607.1131609334261</c:v>
                </c:pt>
                <c:pt idx="286">
                  <c:v>4435.6870873282542</c:v>
                </c:pt>
                <c:pt idx="287">
                  <c:v>4790.2138134700517</c:v>
                </c:pt>
                <c:pt idx="288">
                  <c:v>4807.1759605835496</c:v>
                </c:pt>
                <c:pt idx="289">
                  <c:v>4800.3930353031656</c:v>
                </c:pt>
                <c:pt idx="290">
                  <c:v>4868.8034364492714</c:v>
                </c:pt>
                <c:pt idx="291">
                  <c:v>4681.281472094428</c:v>
                </c:pt>
                <c:pt idx="292">
                  <c:v>4885.8534724249548</c:v>
                </c:pt>
                <c:pt idx="293">
                  <c:v>4485.6727579125163</c:v>
                </c:pt>
                <c:pt idx="294">
                  <c:v>4602.2733355816945</c:v>
                </c:pt>
                <c:pt idx="295">
                  <c:v>4537.1143496965287</c:v>
                </c:pt>
                <c:pt idx="296">
                  <c:v>4215.3376629017012</c:v>
                </c:pt>
                <c:pt idx="297">
                  <c:v>4829.8580180748377</c:v>
                </c:pt>
                <c:pt idx="298">
                  <c:v>5126.7590501619343</c:v>
                </c:pt>
                <c:pt idx="299">
                  <c:v>4938.0071622121222</c:v>
                </c:pt>
                <c:pt idx="300">
                  <c:v>5141.7888417822924</c:v>
                </c:pt>
                <c:pt idx="301">
                  <c:v>4919.812675693709</c:v>
                </c:pt>
                <c:pt idx="302">
                  <c:v>4776.3164993817509</c:v>
                </c:pt>
                <c:pt idx="303">
                  <c:v>4842.1962328577229</c:v>
                </c:pt>
                <c:pt idx="304">
                  <c:v>4684.815170897381</c:v>
                </c:pt>
                <c:pt idx="305">
                  <c:v>5033.4872248065903</c:v>
                </c:pt>
                <c:pt idx="306">
                  <c:v>5206.5485825698897</c:v>
                </c:pt>
                <c:pt idx="307">
                  <c:v>5154.9985450538652</c:v>
                </c:pt>
                <c:pt idx="308">
                  <c:v>5047.6457003531186</c:v>
                </c:pt>
                <c:pt idx="309">
                  <c:v>4884.581506003211</c:v>
                </c:pt>
                <c:pt idx="310">
                  <c:v>5144.006514368547</c:v>
                </c:pt>
                <c:pt idx="311">
                  <c:v>5529.3131783208091</c:v>
                </c:pt>
                <c:pt idx="312">
                  <c:v>5591.8331224280819</c:v>
                </c:pt>
                <c:pt idx="313">
                  <c:v>5783.3086722062644</c:v>
                </c:pt>
                <c:pt idx="314">
                  <c:v>6149.6754932818594</c:v>
                </c:pt>
                <c:pt idx="315">
                  <c:v>5862.8238798977272</c:v>
                </c:pt>
                <c:pt idx="316">
                  <c:v>5992.4978184733054</c:v>
                </c:pt>
                <c:pt idx="317">
                  <c:v>6047.6647533901705</c:v>
                </c:pt>
                <c:pt idx="318">
                  <c:v>6260.9719369069953</c:v>
                </c:pt>
                <c:pt idx="319">
                  <c:v>6308.3737554413183</c:v>
                </c:pt>
                <c:pt idx="320">
                  <c:v>6373.0156613133249</c:v>
                </c:pt>
                <c:pt idx="321">
                  <c:v>6380.956438827322</c:v>
                </c:pt>
                <c:pt idx="322">
                  <c:v>6809.7949972551514</c:v>
                </c:pt>
                <c:pt idx="323">
                  <c:v>6367.6486276733694</c:v>
                </c:pt>
              </c:numCache>
            </c:numRef>
          </c:val>
          <c:smooth val="0"/>
          <c:extLst>
            <c:ext xmlns:c16="http://schemas.microsoft.com/office/drawing/2014/chart" uri="{C3380CC4-5D6E-409C-BE32-E72D297353CC}">
              <c16:uniqueId val="{00000000-88D4-4F73-BAE7-58D6ACCCDCE3}"/>
            </c:ext>
          </c:extLst>
        </c:ser>
        <c:ser>
          <c:idx val="1"/>
          <c:order val="1"/>
          <c:tx>
            <c:strRef>
              <c:f>'MF Data '!$N$1</c:f>
              <c:strCache>
                <c:ptCount val="1"/>
                <c:pt idx="0">
                  <c:v>PGWCX</c:v>
                </c:pt>
              </c:strCache>
            </c:strRef>
          </c:tx>
          <c:spPr>
            <a:ln w="28575" cap="rnd">
              <a:solidFill>
                <a:schemeClr val="accent3"/>
              </a:solidFill>
              <a:round/>
            </a:ln>
            <a:effectLst/>
          </c:spPr>
          <c:marker>
            <c:symbol val="none"/>
          </c:marker>
          <c:cat>
            <c:numRef>
              <c:f>'MF Data '!$A$2:$A$325</c:f>
              <c:numCache>
                <c:formatCode>m/d/yyyy</c:formatCode>
                <c:ptCount val="324"/>
                <c:pt idx="0">
                  <c:v>35825</c:v>
                </c:pt>
                <c:pt idx="1">
                  <c:v>35853</c:v>
                </c:pt>
                <c:pt idx="2">
                  <c:v>35885</c:v>
                </c:pt>
                <c:pt idx="3">
                  <c:v>35915</c:v>
                </c:pt>
                <c:pt idx="4">
                  <c:v>35944</c:v>
                </c:pt>
                <c:pt idx="5">
                  <c:v>35976</c:v>
                </c:pt>
                <c:pt idx="6">
                  <c:v>36007</c:v>
                </c:pt>
                <c:pt idx="7">
                  <c:v>36038</c:v>
                </c:pt>
                <c:pt idx="8">
                  <c:v>36068</c:v>
                </c:pt>
                <c:pt idx="9">
                  <c:v>36098</c:v>
                </c:pt>
                <c:pt idx="10">
                  <c:v>36129</c:v>
                </c:pt>
                <c:pt idx="11">
                  <c:v>36160</c:v>
                </c:pt>
                <c:pt idx="12">
                  <c:v>36189</c:v>
                </c:pt>
                <c:pt idx="13">
                  <c:v>36217</c:v>
                </c:pt>
                <c:pt idx="14">
                  <c:v>36250</c:v>
                </c:pt>
                <c:pt idx="15">
                  <c:v>36280</c:v>
                </c:pt>
                <c:pt idx="16">
                  <c:v>36308</c:v>
                </c:pt>
                <c:pt idx="17">
                  <c:v>36341</c:v>
                </c:pt>
                <c:pt idx="18">
                  <c:v>36371</c:v>
                </c:pt>
                <c:pt idx="19">
                  <c:v>36403</c:v>
                </c:pt>
                <c:pt idx="20">
                  <c:v>36433</c:v>
                </c:pt>
                <c:pt idx="21">
                  <c:v>36462</c:v>
                </c:pt>
                <c:pt idx="22">
                  <c:v>36494</c:v>
                </c:pt>
                <c:pt idx="23">
                  <c:v>36525</c:v>
                </c:pt>
                <c:pt idx="24">
                  <c:v>36556</c:v>
                </c:pt>
                <c:pt idx="25">
                  <c:v>36585</c:v>
                </c:pt>
                <c:pt idx="26">
                  <c:v>36616</c:v>
                </c:pt>
                <c:pt idx="27">
                  <c:v>36644</c:v>
                </c:pt>
                <c:pt idx="28">
                  <c:v>36677</c:v>
                </c:pt>
                <c:pt idx="29">
                  <c:v>36707</c:v>
                </c:pt>
                <c:pt idx="30">
                  <c:v>36738</c:v>
                </c:pt>
                <c:pt idx="31">
                  <c:v>36769</c:v>
                </c:pt>
                <c:pt idx="32">
                  <c:v>36798</c:v>
                </c:pt>
                <c:pt idx="33">
                  <c:v>36830</c:v>
                </c:pt>
                <c:pt idx="34">
                  <c:v>36860</c:v>
                </c:pt>
                <c:pt idx="35">
                  <c:v>36889</c:v>
                </c:pt>
                <c:pt idx="36">
                  <c:v>36922</c:v>
                </c:pt>
                <c:pt idx="37">
                  <c:v>36950</c:v>
                </c:pt>
                <c:pt idx="38">
                  <c:v>36980</c:v>
                </c:pt>
                <c:pt idx="39">
                  <c:v>37011</c:v>
                </c:pt>
                <c:pt idx="40">
                  <c:v>37042</c:v>
                </c:pt>
                <c:pt idx="41">
                  <c:v>37071</c:v>
                </c:pt>
                <c:pt idx="42">
                  <c:v>37103</c:v>
                </c:pt>
                <c:pt idx="43">
                  <c:v>37134</c:v>
                </c:pt>
                <c:pt idx="44">
                  <c:v>37162</c:v>
                </c:pt>
                <c:pt idx="45">
                  <c:v>37195</c:v>
                </c:pt>
                <c:pt idx="46">
                  <c:v>37225</c:v>
                </c:pt>
                <c:pt idx="47">
                  <c:v>37256</c:v>
                </c:pt>
                <c:pt idx="48">
                  <c:v>37287</c:v>
                </c:pt>
                <c:pt idx="49">
                  <c:v>37315</c:v>
                </c:pt>
                <c:pt idx="50">
                  <c:v>37343</c:v>
                </c:pt>
                <c:pt idx="51">
                  <c:v>37376</c:v>
                </c:pt>
                <c:pt idx="52">
                  <c:v>37407</c:v>
                </c:pt>
                <c:pt idx="53">
                  <c:v>37435</c:v>
                </c:pt>
                <c:pt idx="54">
                  <c:v>37468</c:v>
                </c:pt>
                <c:pt idx="55">
                  <c:v>37498</c:v>
                </c:pt>
                <c:pt idx="56">
                  <c:v>37529</c:v>
                </c:pt>
                <c:pt idx="57">
                  <c:v>37560</c:v>
                </c:pt>
                <c:pt idx="58">
                  <c:v>37589</c:v>
                </c:pt>
                <c:pt idx="59">
                  <c:v>37621</c:v>
                </c:pt>
                <c:pt idx="60">
                  <c:v>37652</c:v>
                </c:pt>
                <c:pt idx="61">
                  <c:v>37680</c:v>
                </c:pt>
                <c:pt idx="62">
                  <c:v>37711</c:v>
                </c:pt>
                <c:pt idx="63">
                  <c:v>37741</c:v>
                </c:pt>
                <c:pt idx="64">
                  <c:v>37771</c:v>
                </c:pt>
                <c:pt idx="65">
                  <c:v>37802</c:v>
                </c:pt>
                <c:pt idx="66">
                  <c:v>37833</c:v>
                </c:pt>
                <c:pt idx="67">
                  <c:v>37862</c:v>
                </c:pt>
                <c:pt idx="68">
                  <c:v>37894</c:v>
                </c:pt>
                <c:pt idx="69">
                  <c:v>37925</c:v>
                </c:pt>
                <c:pt idx="70">
                  <c:v>37953</c:v>
                </c:pt>
                <c:pt idx="71">
                  <c:v>37986</c:v>
                </c:pt>
                <c:pt idx="72">
                  <c:v>38016</c:v>
                </c:pt>
                <c:pt idx="73">
                  <c:v>38044</c:v>
                </c:pt>
                <c:pt idx="74">
                  <c:v>38077</c:v>
                </c:pt>
                <c:pt idx="75">
                  <c:v>38107</c:v>
                </c:pt>
                <c:pt idx="76">
                  <c:v>38135</c:v>
                </c:pt>
                <c:pt idx="77">
                  <c:v>38168</c:v>
                </c:pt>
                <c:pt idx="78">
                  <c:v>38198</c:v>
                </c:pt>
                <c:pt idx="79">
                  <c:v>38230</c:v>
                </c:pt>
                <c:pt idx="80">
                  <c:v>38260</c:v>
                </c:pt>
                <c:pt idx="81">
                  <c:v>38289</c:v>
                </c:pt>
                <c:pt idx="82">
                  <c:v>38321</c:v>
                </c:pt>
                <c:pt idx="83">
                  <c:v>38352</c:v>
                </c:pt>
                <c:pt idx="84">
                  <c:v>38383</c:v>
                </c:pt>
                <c:pt idx="85">
                  <c:v>38411</c:v>
                </c:pt>
                <c:pt idx="86">
                  <c:v>38442</c:v>
                </c:pt>
                <c:pt idx="87">
                  <c:v>38471</c:v>
                </c:pt>
                <c:pt idx="88">
                  <c:v>38503</c:v>
                </c:pt>
                <c:pt idx="89">
                  <c:v>38533</c:v>
                </c:pt>
                <c:pt idx="90">
                  <c:v>38562</c:v>
                </c:pt>
                <c:pt idx="91">
                  <c:v>38595</c:v>
                </c:pt>
                <c:pt idx="92">
                  <c:v>38625</c:v>
                </c:pt>
                <c:pt idx="93">
                  <c:v>38656</c:v>
                </c:pt>
                <c:pt idx="94">
                  <c:v>38686</c:v>
                </c:pt>
                <c:pt idx="95">
                  <c:v>38716</c:v>
                </c:pt>
                <c:pt idx="96">
                  <c:v>38748</c:v>
                </c:pt>
                <c:pt idx="97">
                  <c:v>38776</c:v>
                </c:pt>
                <c:pt idx="98">
                  <c:v>38807</c:v>
                </c:pt>
                <c:pt idx="99">
                  <c:v>38835</c:v>
                </c:pt>
                <c:pt idx="100">
                  <c:v>38868</c:v>
                </c:pt>
                <c:pt idx="101">
                  <c:v>38898</c:v>
                </c:pt>
                <c:pt idx="102">
                  <c:v>38929</c:v>
                </c:pt>
                <c:pt idx="103">
                  <c:v>38960</c:v>
                </c:pt>
                <c:pt idx="104">
                  <c:v>38989</c:v>
                </c:pt>
                <c:pt idx="105">
                  <c:v>39021</c:v>
                </c:pt>
                <c:pt idx="106">
                  <c:v>39051</c:v>
                </c:pt>
                <c:pt idx="107">
                  <c:v>39080</c:v>
                </c:pt>
                <c:pt idx="108">
                  <c:v>39113</c:v>
                </c:pt>
                <c:pt idx="109">
                  <c:v>39141</c:v>
                </c:pt>
                <c:pt idx="110">
                  <c:v>39171</c:v>
                </c:pt>
                <c:pt idx="111">
                  <c:v>39202</c:v>
                </c:pt>
                <c:pt idx="112">
                  <c:v>39233</c:v>
                </c:pt>
                <c:pt idx="113">
                  <c:v>39262</c:v>
                </c:pt>
                <c:pt idx="114">
                  <c:v>39294</c:v>
                </c:pt>
                <c:pt idx="115">
                  <c:v>39325</c:v>
                </c:pt>
                <c:pt idx="116">
                  <c:v>39353</c:v>
                </c:pt>
                <c:pt idx="117">
                  <c:v>39386</c:v>
                </c:pt>
                <c:pt idx="118">
                  <c:v>39416</c:v>
                </c:pt>
                <c:pt idx="119">
                  <c:v>39447</c:v>
                </c:pt>
                <c:pt idx="120">
                  <c:v>39478</c:v>
                </c:pt>
                <c:pt idx="121">
                  <c:v>39507</c:v>
                </c:pt>
                <c:pt idx="122">
                  <c:v>39538</c:v>
                </c:pt>
                <c:pt idx="123">
                  <c:v>39568</c:v>
                </c:pt>
                <c:pt idx="124">
                  <c:v>39598</c:v>
                </c:pt>
                <c:pt idx="125">
                  <c:v>39629</c:v>
                </c:pt>
                <c:pt idx="126">
                  <c:v>39660</c:v>
                </c:pt>
                <c:pt idx="127">
                  <c:v>39689</c:v>
                </c:pt>
                <c:pt idx="128">
                  <c:v>39721</c:v>
                </c:pt>
                <c:pt idx="129">
                  <c:v>39752</c:v>
                </c:pt>
                <c:pt idx="130">
                  <c:v>39780</c:v>
                </c:pt>
                <c:pt idx="131">
                  <c:v>39813</c:v>
                </c:pt>
                <c:pt idx="132">
                  <c:v>39843</c:v>
                </c:pt>
                <c:pt idx="133">
                  <c:v>39871</c:v>
                </c:pt>
                <c:pt idx="134">
                  <c:v>39903</c:v>
                </c:pt>
                <c:pt idx="135">
                  <c:v>39933</c:v>
                </c:pt>
                <c:pt idx="136">
                  <c:v>39962</c:v>
                </c:pt>
                <c:pt idx="137">
                  <c:v>39994</c:v>
                </c:pt>
                <c:pt idx="138">
                  <c:v>40025</c:v>
                </c:pt>
                <c:pt idx="139">
                  <c:v>40056</c:v>
                </c:pt>
                <c:pt idx="140">
                  <c:v>40086</c:v>
                </c:pt>
                <c:pt idx="141">
                  <c:v>40116</c:v>
                </c:pt>
                <c:pt idx="142">
                  <c:v>40147</c:v>
                </c:pt>
                <c:pt idx="143">
                  <c:v>40178</c:v>
                </c:pt>
                <c:pt idx="144">
                  <c:v>40207</c:v>
                </c:pt>
                <c:pt idx="145">
                  <c:v>40235</c:v>
                </c:pt>
                <c:pt idx="146">
                  <c:v>40268</c:v>
                </c:pt>
                <c:pt idx="147">
                  <c:v>40298</c:v>
                </c:pt>
                <c:pt idx="148">
                  <c:v>40326</c:v>
                </c:pt>
                <c:pt idx="149">
                  <c:v>40359</c:v>
                </c:pt>
                <c:pt idx="150">
                  <c:v>40389</c:v>
                </c:pt>
                <c:pt idx="151">
                  <c:v>40421</c:v>
                </c:pt>
                <c:pt idx="152">
                  <c:v>40451</c:v>
                </c:pt>
                <c:pt idx="153">
                  <c:v>40480</c:v>
                </c:pt>
                <c:pt idx="154">
                  <c:v>40512</c:v>
                </c:pt>
                <c:pt idx="155">
                  <c:v>40543</c:v>
                </c:pt>
                <c:pt idx="156">
                  <c:v>40574</c:v>
                </c:pt>
                <c:pt idx="157">
                  <c:v>40602</c:v>
                </c:pt>
                <c:pt idx="158">
                  <c:v>40633</c:v>
                </c:pt>
                <c:pt idx="159">
                  <c:v>40662</c:v>
                </c:pt>
                <c:pt idx="160">
                  <c:v>40694</c:v>
                </c:pt>
                <c:pt idx="161">
                  <c:v>40724</c:v>
                </c:pt>
                <c:pt idx="162">
                  <c:v>40753</c:v>
                </c:pt>
                <c:pt idx="163">
                  <c:v>40786</c:v>
                </c:pt>
                <c:pt idx="164">
                  <c:v>40816</c:v>
                </c:pt>
                <c:pt idx="165">
                  <c:v>40847</c:v>
                </c:pt>
                <c:pt idx="166">
                  <c:v>40877</c:v>
                </c:pt>
                <c:pt idx="167">
                  <c:v>40907</c:v>
                </c:pt>
                <c:pt idx="168">
                  <c:v>40939</c:v>
                </c:pt>
                <c:pt idx="169">
                  <c:v>40968</c:v>
                </c:pt>
                <c:pt idx="170">
                  <c:v>40998</c:v>
                </c:pt>
                <c:pt idx="171">
                  <c:v>41029</c:v>
                </c:pt>
                <c:pt idx="172">
                  <c:v>41060</c:v>
                </c:pt>
                <c:pt idx="173">
                  <c:v>41089</c:v>
                </c:pt>
                <c:pt idx="174">
                  <c:v>41121</c:v>
                </c:pt>
                <c:pt idx="175">
                  <c:v>41152</c:v>
                </c:pt>
                <c:pt idx="176">
                  <c:v>41180</c:v>
                </c:pt>
                <c:pt idx="177">
                  <c:v>41213</c:v>
                </c:pt>
                <c:pt idx="178">
                  <c:v>41243</c:v>
                </c:pt>
                <c:pt idx="179">
                  <c:v>41274</c:v>
                </c:pt>
                <c:pt idx="180">
                  <c:v>41305</c:v>
                </c:pt>
                <c:pt idx="181">
                  <c:v>41333</c:v>
                </c:pt>
                <c:pt idx="182">
                  <c:v>41361</c:v>
                </c:pt>
                <c:pt idx="183">
                  <c:v>41394</c:v>
                </c:pt>
                <c:pt idx="184">
                  <c:v>41425</c:v>
                </c:pt>
                <c:pt idx="185">
                  <c:v>41453</c:v>
                </c:pt>
                <c:pt idx="186">
                  <c:v>41486</c:v>
                </c:pt>
                <c:pt idx="187">
                  <c:v>41516</c:v>
                </c:pt>
                <c:pt idx="188">
                  <c:v>41547</c:v>
                </c:pt>
                <c:pt idx="189">
                  <c:v>41578</c:v>
                </c:pt>
                <c:pt idx="190">
                  <c:v>41607</c:v>
                </c:pt>
                <c:pt idx="191">
                  <c:v>41639</c:v>
                </c:pt>
                <c:pt idx="192">
                  <c:v>41670</c:v>
                </c:pt>
                <c:pt idx="193">
                  <c:v>41698</c:v>
                </c:pt>
                <c:pt idx="194">
                  <c:v>41729</c:v>
                </c:pt>
                <c:pt idx="195">
                  <c:v>41759</c:v>
                </c:pt>
                <c:pt idx="196">
                  <c:v>41789</c:v>
                </c:pt>
                <c:pt idx="197">
                  <c:v>41820</c:v>
                </c:pt>
                <c:pt idx="198">
                  <c:v>41851</c:v>
                </c:pt>
                <c:pt idx="199">
                  <c:v>41880</c:v>
                </c:pt>
                <c:pt idx="200">
                  <c:v>41912</c:v>
                </c:pt>
                <c:pt idx="201">
                  <c:v>41943</c:v>
                </c:pt>
                <c:pt idx="202">
                  <c:v>41971</c:v>
                </c:pt>
                <c:pt idx="203">
                  <c:v>42004</c:v>
                </c:pt>
                <c:pt idx="204">
                  <c:v>42034</c:v>
                </c:pt>
                <c:pt idx="205">
                  <c:v>42062</c:v>
                </c:pt>
                <c:pt idx="206">
                  <c:v>42094</c:v>
                </c:pt>
                <c:pt idx="207">
                  <c:v>42124</c:v>
                </c:pt>
                <c:pt idx="208">
                  <c:v>42153</c:v>
                </c:pt>
                <c:pt idx="209">
                  <c:v>42185</c:v>
                </c:pt>
                <c:pt idx="210">
                  <c:v>42216</c:v>
                </c:pt>
                <c:pt idx="211">
                  <c:v>42247</c:v>
                </c:pt>
                <c:pt idx="212">
                  <c:v>42277</c:v>
                </c:pt>
                <c:pt idx="213">
                  <c:v>42307</c:v>
                </c:pt>
                <c:pt idx="214">
                  <c:v>42338</c:v>
                </c:pt>
                <c:pt idx="215">
                  <c:v>42369</c:v>
                </c:pt>
                <c:pt idx="216">
                  <c:v>42398</c:v>
                </c:pt>
                <c:pt idx="217">
                  <c:v>42429</c:v>
                </c:pt>
                <c:pt idx="218">
                  <c:v>42460</c:v>
                </c:pt>
                <c:pt idx="219">
                  <c:v>42489</c:v>
                </c:pt>
                <c:pt idx="220">
                  <c:v>42521</c:v>
                </c:pt>
                <c:pt idx="221">
                  <c:v>42551</c:v>
                </c:pt>
                <c:pt idx="222">
                  <c:v>42580</c:v>
                </c:pt>
                <c:pt idx="223">
                  <c:v>42613</c:v>
                </c:pt>
                <c:pt idx="224">
                  <c:v>42643</c:v>
                </c:pt>
                <c:pt idx="225">
                  <c:v>42674</c:v>
                </c:pt>
                <c:pt idx="226">
                  <c:v>42704</c:v>
                </c:pt>
                <c:pt idx="227">
                  <c:v>42734</c:v>
                </c:pt>
                <c:pt idx="228">
                  <c:v>42766</c:v>
                </c:pt>
                <c:pt idx="229">
                  <c:v>42794</c:v>
                </c:pt>
                <c:pt idx="230">
                  <c:v>42825</c:v>
                </c:pt>
                <c:pt idx="231">
                  <c:v>42853</c:v>
                </c:pt>
                <c:pt idx="232">
                  <c:v>42886</c:v>
                </c:pt>
                <c:pt idx="233">
                  <c:v>42916</c:v>
                </c:pt>
                <c:pt idx="234">
                  <c:v>42947</c:v>
                </c:pt>
                <c:pt idx="235">
                  <c:v>42978</c:v>
                </c:pt>
                <c:pt idx="236">
                  <c:v>43007</c:v>
                </c:pt>
                <c:pt idx="237">
                  <c:v>43039</c:v>
                </c:pt>
                <c:pt idx="238">
                  <c:v>43069</c:v>
                </c:pt>
                <c:pt idx="239">
                  <c:v>43098</c:v>
                </c:pt>
                <c:pt idx="240">
                  <c:v>43131</c:v>
                </c:pt>
                <c:pt idx="241">
                  <c:v>43159</c:v>
                </c:pt>
                <c:pt idx="242">
                  <c:v>43188</c:v>
                </c:pt>
                <c:pt idx="243">
                  <c:v>43220</c:v>
                </c:pt>
                <c:pt idx="244">
                  <c:v>43251</c:v>
                </c:pt>
                <c:pt idx="245">
                  <c:v>43280</c:v>
                </c:pt>
                <c:pt idx="246">
                  <c:v>43312</c:v>
                </c:pt>
                <c:pt idx="247">
                  <c:v>43343</c:v>
                </c:pt>
                <c:pt idx="248">
                  <c:v>43371</c:v>
                </c:pt>
                <c:pt idx="249">
                  <c:v>43404</c:v>
                </c:pt>
                <c:pt idx="250">
                  <c:v>43434</c:v>
                </c:pt>
                <c:pt idx="251">
                  <c:v>43465</c:v>
                </c:pt>
                <c:pt idx="252">
                  <c:v>43496</c:v>
                </c:pt>
                <c:pt idx="253">
                  <c:v>43524</c:v>
                </c:pt>
                <c:pt idx="254">
                  <c:v>43553</c:v>
                </c:pt>
                <c:pt idx="255">
                  <c:v>43585</c:v>
                </c:pt>
                <c:pt idx="256">
                  <c:v>43616</c:v>
                </c:pt>
                <c:pt idx="257">
                  <c:v>43644</c:v>
                </c:pt>
                <c:pt idx="258">
                  <c:v>43677</c:v>
                </c:pt>
                <c:pt idx="259">
                  <c:v>43707</c:v>
                </c:pt>
                <c:pt idx="260">
                  <c:v>43738</c:v>
                </c:pt>
                <c:pt idx="261">
                  <c:v>43769</c:v>
                </c:pt>
                <c:pt idx="262">
                  <c:v>43798</c:v>
                </c:pt>
                <c:pt idx="263">
                  <c:v>43830</c:v>
                </c:pt>
                <c:pt idx="264">
                  <c:v>43861</c:v>
                </c:pt>
                <c:pt idx="265">
                  <c:v>43889</c:v>
                </c:pt>
                <c:pt idx="266">
                  <c:v>43921</c:v>
                </c:pt>
                <c:pt idx="267">
                  <c:v>43951</c:v>
                </c:pt>
                <c:pt idx="268">
                  <c:v>43980</c:v>
                </c:pt>
                <c:pt idx="269">
                  <c:v>44012</c:v>
                </c:pt>
                <c:pt idx="270">
                  <c:v>44043</c:v>
                </c:pt>
                <c:pt idx="271">
                  <c:v>44074</c:v>
                </c:pt>
                <c:pt idx="272">
                  <c:v>44104</c:v>
                </c:pt>
                <c:pt idx="273">
                  <c:v>44134</c:v>
                </c:pt>
                <c:pt idx="274">
                  <c:v>44165</c:v>
                </c:pt>
                <c:pt idx="275">
                  <c:v>44196</c:v>
                </c:pt>
                <c:pt idx="276">
                  <c:v>44225</c:v>
                </c:pt>
                <c:pt idx="277">
                  <c:v>44253</c:v>
                </c:pt>
                <c:pt idx="278">
                  <c:v>44286</c:v>
                </c:pt>
                <c:pt idx="279">
                  <c:v>44316</c:v>
                </c:pt>
                <c:pt idx="280">
                  <c:v>44344</c:v>
                </c:pt>
                <c:pt idx="281">
                  <c:v>44377</c:v>
                </c:pt>
                <c:pt idx="282">
                  <c:v>44407</c:v>
                </c:pt>
                <c:pt idx="283">
                  <c:v>44439</c:v>
                </c:pt>
                <c:pt idx="284">
                  <c:v>44469</c:v>
                </c:pt>
                <c:pt idx="285">
                  <c:v>44498</c:v>
                </c:pt>
                <c:pt idx="286">
                  <c:v>44530</c:v>
                </c:pt>
                <c:pt idx="287">
                  <c:v>44561</c:v>
                </c:pt>
                <c:pt idx="288">
                  <c:v>44592</c:v>
                </c:pt>
                <c:pt idx="289">
                  <c:v>44620</c:v>
                </c:pt>
                <c:pt idx="290">
                  <c:v>44651</c:v>
                </c:pt>
                <c:pt idx="291">
                  <c:v>44680</c:v>
                </c:pt>
                <c:pt idx="292">
                  <c:v>44712</c:v>
                </c:pt>
                <c:pt idx="293">
                  <c:v>44742</c:v>
                </c:pt>
                <c:pt idx="294">
                  <c:v>44771</c:v>
                </c:pt>
                <c:pt idx="295">
                  <c:v>44804</c:v>
                </c:pt>
                <c:pt idx="296">
                  <c:v>44834</c:v>
                </c:pt>
                <c:pt idx="297">
                  <c:v>44865</c:v>
                </c:pt>
                <c:pt idx="298">
                  <c:v>44895</c:v>
                </c:pt>
                <c:pt idx="299">
                  <c:v>44925</c:v>
                </c:pt>
                <c:pt idx="300">
                  <c:v>44957</c:v>
                </c:pt>
                <c:pt idx="301">
                  <c:v>44985</c:v>
                </c:pt>
                <c:pt idx="302">
                  <c:v>45016</c:v>
                </c:pt>
                <c:pt idx="303">
                  <c:v>45044</c:v>
                </c:pt>
                <c:pt idx="304">
                  <c:v>45077</c:v>
                </c:pt>
                <c:pt idx="305">
                  <c:v>45107</c:v>
                </c:pt>
                <c:pt idx="306">
                  <c:v>45138</c:v>
                </c:pt>
                <c:pt idx="307">
                  <c:v>45169</c:v>
                </c:pt>
                <c:pt idx="308">
                  <c:v>45198</c:v>
                </c:pt>
                <c:pt idx="309">
                  <c:v>45230</c:v>
                </c:pt>
                <c:pt idx="310">
                  <c:v>45260</c:v>
                </c:pt>
                <c:pt idx="311">
                  <c:v>45289</c:v>
                </c:pt>
                <c:pt idx="312">
                  <c:v>45322</c:v>
                </c:pt>
                <c:pt idx="313">
                  <c:v>45351</c:v>
                </c:pt>
                <c:pt idx="314">
                  <c:v>45379</c:v>
                </c:pt>
                <c:pt idx="315">
                  <c:v>45412</c:v>
                </c:pt>
                <c:pt idx="316">
                  <c:v>45443</c:v>
                </c:pt>
                <c:pt idx="317">
                  <c:v>45471</c:v>
                </c:pt>
                <c:pt idx="318">
                  <c:v>45504</c:v>
                </c:pt>
                <c:pt idx="319">
                  <c:v>45534</c:v>
                </c:pt>
                <c:pt idx="320">
                  <c:v>45565</c:v>
                </c:pt>
                <c:pt idx="321">
                  <c:v>45596</c:v>
                </c:pt>
                <c:pt idx="322">
                  <c:v>45625</c:v>
                </c:pt>
                <c:pt idx="323">
                  <c:v>45657</c:v>
                </c:pt>
              </c:numCache>
            </c:numRef>
          </c:cat>
          <c:val>
            <c:numRef>
              <c:f>'MF Data '!$N$2:$N$325</c:f>
              <c:numCache>
                <c:formatCode>General</c:formatCode>
                <c:ptCount val="324"/>
                <c:pt idx="0">
                  <c:v>1021.766</c:v>
                </c:pt>
                <c:pt idx="1">
                  <c:v>1098.7856993140001</c:v>
                </c:pt>
                <c:pt idx="2">
                  <c:v>1172.4570828816052</c:v>
                </c:pt>
                <c:pt idx="3">
                  <c:v>1194.2237486253021</c:v>
                </c:pt>
                <c:pt idx="4">
                  <c:v>1177.4807316695753</c:v>
                </c:pt>
                <c:pt idx="5">
                  <c:v>1269.5691447319896</c:v>
                </c:pt>
                <c:pt idx="6">
                  <c:v>1246.1278200436582</c:v>
                </c:pt>
                <c:pt idx="7">
                  <c:v>1020.091448638119</c:v>
                </c:pt>
                <c:pt idx="8">
                  <c:v>1110.0869765113198</c:v>
                </c:pt>
                <c:pt idx="9">
                  <c:v>1154.4571529624773</c:v>
                </c:pt>
                <c:pt idx="10">
                  <c:v>1241.1037801209229</c:v>
                </c:pt>
                <c:pt idx="11">
                  <c:v>1388.9639200694091</c:v>
                </c:pt>
                <c:pt idx="12">
                  <c:v>1495.5113423779335</c:v>
                </c:pt>
                <c:pt idx="13">
                  <c:v>1432.1584908921195</c:v>
                </c:pt>
                <c:pt idx="14">
                  <c:v>1500.7903900926517</c:v>
                </c:pt>
                <c:pt idx="15">
                  <c:v>1461.9154166180817</c:v>
                </c:pt>
                <c:pt idx="16">
                  <c:v>1385.123923613967</c:v>
                </c:pt>
                <c:pt idx="17">
                  <c:v>1495.0321218288118</c:v>
                </c:pt>
                <c:pt idx="18">
                  <c:v>1431.198735323087</c:v>
                </c:pt>
                <c:pt idx="19">
                  <c:v>1433.5988556022237</c:v>
                </c:pt>
                <c:pt idx="20">
                  <c:v>1425.9190665327626</c:v>
                </c:pt>
                <c:pt idx="21">
                  <c:v>1541.5853434527005</c:v>
                </c:pt>
                <c:pt idx="22">
                  <c:v>1644.2934669602366</c:v>
                </c:pt>
                <c:pt idx="23">
                  <c:v>1942.1670942608855</c:v>
                </c:pt>
                <c:pt idx="24">
                  <c:v>1860.0406165129696</c:v>
                </c:pt>
                <c:pt idx="25">
                  <c:v>2050.3488121508776</c:v>
                </c:pt>
                <c:pt idx="26">
                  <c:v>2144.9375539018342</c:v>
                </c:pt>
                <c:pt idx="27">
                  <c:v>1951.2303883465136</c:v>
                </c:pt>
                <c:pt idx="28">
                  <c:v>1786.975814255504</c:v>
                </c:pt>
                <c:pt idx="29">
                  <c:v>1963.1251681699259</c:v>
                </c:pt>
                <c:pt idx="30">
                  <c:v>2003.9051672883197</c:v>
                </c:pt>
                <c:pt idx="31">
                  <c:v>2205.5421130312052</c:v>
                </c:pt>
                <c:pt idx="32">
                  <c:v>2028.2606379857568</c:v>
                </c:pt>
                <c:pt idx="33">
                  <c:v>1876.4676400995409</c:v>
                </c:pt>
                <c:pt idx="34">
                  <c:v>1605.7308889859792</c:v>
                </c:pt>
                <c:pt idx="35">
                  <c:v>1653.6121783646522</c:v>
                </c:pt>
                <c:pt idx="36">
                  <c:v>1628.483887702223</c:v>
                </c:pt>
                <c:pt idx="37">
                  <c:v>1415.1932105104243</c:v>
                </c:pt>
                <c:pt idx="38">
                  <c:v>1261.9674112220396</c:v>
                </c:pt>
                <c:pt idx="39">
                  <c:v>1390.6767294599865</c:v>
                </c:pt>
                <c:pt idx="40">
                  <c:v>1362.4835401236442</c:v>
                </c:pt>
                <c:pt idx="41">
                  <c:v>1317.1291880400083</c:v>
                </c:pt>
                <c:pt idx="42">
                  <c:v>1280.9674061823698</c:v>
                </c:pt>
                <c:pt idx="43">
                  <c:v>1177.9994031712124</c:v>
                </c:pt>
                <c:pt idx="44">
                  <c:v>1065.8385459970718</c:v>
                </c:pt>
                <c:pt idx="45">
                  <c:v>1086.0638982459125</c:v>
                </c:pt>
                <c:pt idx="46">
                  <c:v>1172.483088693238</c:v>
                </c:pt>
                <c:pt idx="47">
                  <c:v>1164.3894379319886</c:v>
                </c:pt>
                <c:pt idx="48">
                  <c:v>1142.758575343526</c:v>
                </c:pt>
                <c:pt idx="49">
                  <c:v>1108.1478463720966</c:v>
                </c:pt>
                <c:pt idx="50">
                  <c:v>1156.355602132822</c:v>
                </c:pt>
                <c:pt idx="51">
                  <c:v>1088.3711435722291</c:v>
                </c:pt>
                <c:pt idx="52">
                  <c:v>1066.1215722841821</c:v>
                </c:pt>
                <c:pt idx="53">
                  <c:v>970.9435689185118</c:v>
                </c:pt>
                <c:pt idx="54">
                  <c:v>891.83399975373823</c:v>
                </c:pt>
                <c:pt idx="55">
                  <c:v>901.72265514300761</c:v>
                </c:pt>
                <c:pt idx="56">
                  <c:v>809.01654896775506</c:v>
                </c:pt>
                <c:pt idx="57">
                  <c:v>862.78621586179895</c:v>
                </c:pt>
                <c:pt idx="58">
                  <c:v>871.43909882067703</c:v>
                </c:pt>
                <c:pt idx="59">
                  <c:v>818.28741386630747</c:v>
                </c:pt>
                <c:pt idx="60">
                  <c:v>797.27379307822071</c:v>
                </c:pt>
                <c:pt idx="61">
                  <c:v>784.912860190336</c:v>
                </c:pt>
                <c:pt idx="62">
                  <c:v>793.56573956107422</c:v>
                </c:pt>
                <c:pt idx="63">
                  <c:v>843.627040675545</c:v>
                </c:pt>
                <c:pt idx="64">
                  <c:v>874.52909917549016</c:v>
                </c:pt>
                <c:pt idx="65">
                  <c:v>888.7436951534886</c:v>
                </c:pt>
                <c:pt idx="66">
                  <c:v>916.55515160592677</c:v>
                </c:pt>
                <c:pt idx="67">
                  <c:v>928.91581438048445</c:v>
                </c:pt>
                <c:pt idx="68">
                  <c:v>910.99238374201309</c:v>
                </c:pt>
                <c:pt idx="69">
                  <c:v>977.74079569879029</c:v>
                </c:pt>
                <c:pt idx="70">
                  <c:v>988.86553047225129</c:v>
                </c:pt>
                <c:pt idx="71">
                  <c:v>1016.0593325602383</c:v>
                </c:pt>
                <c:pt idx="72">
                  <c:v>1056.2322864510052</c:v>
                </c:pt>
                <c:pt idx="73">
                  <c:v>1067.3565248919072</c:v>
                </c:pt>
                <c:pt idx="74">
                  <c:v>1054.9954689771341</c:v>
                </c:pt>
                <c:pt idx="75">
                  <c:v>1014.2051241646021</c:v>
                </c:pt>
                <c:pt idx="76">
                  <c:v>1032.7468222445793</c:v>
                </c:pt>
                <c:pt idx="77">
                  <c:v>1053.1425392370875</c:v>
                </c:pt>
                <c:pt idx="78">
                  <c:v>991.33886932195901</c:v>
                </c:pt>
                <c:pt idx="79">
                  <c:v>976.5054658202946</c:v>
                </c:pt>
                <c:pt idx="80">
                  <c:v>999.99139877873858</c:v>
                </c:pt>
                <c:pt idx="81">
                  <c:v>1012.3522924590426</c:v>
                </c:pt>
                <c:pt idx="82">
                  <c:v>1053.7615506297873</c:v>
                </c:pt>
                <c:pt idx="83">
                  <c:v>1104.4411586457763</c:v>
                </c:pt>
                <c:pt idx="84">
                  <c:v>1060.5606069716212</c:v>
                </c:pt>
                <c:pt idx="85">
                  <c:v>1063.032773746472</c:v>
                </c:pt>
                <c:pt idx="86">
                  <c:v>1046.3452852641999</c:v>
                </c:pt>
                <c:pt idx="87">
                  <c:v>1025.3315329002389</c:v>
                </c:pt>
                <c:pt idx="88">
                  <c:v>1078.4826689027216</c:v>
                </c:pt>
                <c:pt idx="89">
                  <c:v>1077.246727764159</c:v>
                </c:pt>
                <c:pt idx="90">
                  <c:v>1128.5441396935605</c:v>
                </c:pt>
                <c:pt idx="91">
                  <c:v>1101.9680537479169</c:v>
                </c:pt>
                <c:pt idx="92">
                  <c:v>1110.6207069059456</c:v>
                </c:pt>
                <c:pt idx="93">
                  <c:v>1108.7670809461194</c:v>
                </c:pt>
                <c:pt idx="94">
                  <c:v>1150.793788382301</c:v>
                </c:pt>
                <c:pt idx="95">
                  <c:v>1156.9747018197024</c:v>
                </c:pt>
                <c:pt idx="96">
                  <c:v>1203.9455607641787</c:v>
                </c:pt>
                <c:pt idx="97">
                  <c:v>1198.3833322734483</c:v>
                </c:pt>
                <c:pt idx="98">
                  <c:v>1210.1262905463957</c:v>
                </c:pt>
                <c:pt idx="99">
                  <c:v>1239.1741620246712</c:v>
                </c:pt>
                <c:pt idx="100">
                  <c:v>1183.5501122397077</c:v>
                </c:pt>
                <c:pt idx="101">
                  <c:v>1177.369613553592</c:v>
                </c:pt>
                <c:pt idx="102">
                  <c:v>1158.2102778322344</c:v>
                </c:pt>
                <c:pt idx="103">
                  <c:v>1190.3482966215233</c:v>
                </c:pt>
                <c:pt idx="104">
                  <c:v>1236.0838588743154</c:v>
                </c:pt>
                <c:pt idx="105">
                  <c:v>1273.7844165699819</c:v>
                </c:pt>
                <c:pt idx="106">
                  <c:v>1315.8116596102918</c:v>
                </c:pt>
                <c:pt idx="107">
                  <c:v>1319.5196168670736</c:v>
                </c:pt>
                <c:pt idx="108">
                  <c:v>1356.602076659889</c:v>
                </c:pt>
                <c:pt idx="109">
                  <c:v>1343.0048540455268</c:v>
                </c:pt>
                <c:pt idx="110">
                  <c:v>1360.3094715899035</c:v>
                </c:pt>
                <c:pt idx="111">
                  <c:v>1417.7879880024634</c:v>
                </c:pt>
                <c:pt idx="112">
                  <c:v>1474.0302196985331</c:v>
                </c:pt>
                <c:pt idx="113">
                  <c:v>1457.342723581326</c:v>
                </c:pt>
                <c:pt idx="114">
                  <c:v>1450.5442197758191</c:v>
                </c:pt>
                <c:pt idx="115">
                  <c:v>1467.8492123177446</c:v>
                </c:pt>
                <c:pt idx="116">
                  <c:v>1551.2846972443099</c:v>
                </c:pt>
                <c:pt idx="117">
                  <c:v>1618.033375197338</c:v>
                </c:pt>
                <c:pt idx="118">
                  <c:v>1545.7218456263938</c:v>
                </c:pt>
                <c:pt idx="119">
                  <c:v>1554.3747965182104</c:v>
                </c:pt>
                <c:pt idx="120">
                  <c:v>1439.4194540669096</c:v>
                </c:pt>
                <c:pt idx="121">
                  <c:v>1391.2118571307547</c:v>
                </c:pt>
                <c:pt idx="122">
                  <c:v>1362.1633535538645</c:v>
                </c:pt>
                <c:pt idx="123">
                  <c:v>1480.8268519353558</c:v>
                </c:pt>
                <c:pt idx="124">
                  <c:v>1534.5971557559803</c:v>
                </c:pt>
                <c:pt idx="125">
                  <c:v>1433.8569908692232</c:v>
                </c:pt>
                <c:pt idx="126">
                  <c:v>1385.6492849792089</c:v>
                </c:pt>
                <c:pt idx="127">
                  <c:v>1405.426657223717</c:v>
                </c:pt>
                <c:pt idx="128">
                  <c:v>1218.777564584464</c:v>
                </c:pt>
                <c:pt idx="129">
                  <c:v>1042.0182543927792</c:v>
                </c:pt>
                <c:pt idx="130">
                  <c:v>956.72801825247586</c:v>
                </c:pt>
                <c:pt idx="131">
                  <c:v>967.85285164871561</c:v>
                </c:pt>
                <c:pt idx="132">
                  <c:v>944.36693435060783</c:v>
                </c:pt>
                <c:pt idx="133">
                  <c:v>859.69499501673238</c:v>
                </c:pt>
                <c:pt idx="134">
                  <c:v>937.56788705533802</c:v>
                </c:pt>
                <c:pt idx="135">
                  <c:v>1008.0242386317725</c:v>
                </c:pt>
                <c:pt idx="136">
                  <c:v>1061.1753406863488</c:v>
                </c:pt>
                <c:pt idx="137">
                  <c:v>1076.0084495984627</c:v>
                </c:pt>
                <c:pt idx="138">
                  <c:v>1154.5000379713219</c:v>
                </c:pt>
                <c:pt idx="139">
                  <c:v>1166.2424578575283</c:v>
                </c:pt>
                <c:pt idx="140">
                  <c:v>1198.9987097713727</c:v>
                </c:pt>
                <c:pt idx="141">
                  <c:v>1178.6037417181617</c:v>
                </c:pt>
                <c:pt idx="142">
                  <c:v>1246.5879627479487</c:v>
                </c:pt>
                <c:pt idx="143">
                  <c:v>1279.9628622745995</c:v>
                </c:pt>
                <c:pt idx="144">
                  <c:v>1213.2140789698415</c:v>
                </c:pt>
                <c:pt idx="145">
                  <c:v>1270.073783208921</c:v>
                </c:pt>
                <c:pt idx="146">
                  <c:v>1350.4186507347174</c:v>
                </c:pt>
                <c:pt idx="147">
                  <c:v>1352.2727755421763</c:v>
                </c:pt>
                <c:pt idx="148">
                  <c:v>1244.1152944087619</c:v>
                </c:pt>
                <c:pt idx="149">
                  <c:v>1173.0402317544838</c:v>
                </c:pt>
                <c:pt idx="150">
                  <c:v>1236.0805868492016</c:v>
                </c:pt>
                <c:pt idx="151">
                  <c:v>1179.2208798541383</c:v>
                </c:pt>
                <c:pt idx="152">
                  <c:v>1290.4685776595777</c:v>
                </c:pt>
                <c:pt idx="153">
                  <c:v>1340.5297251927259</c:v>
                </c:pt>
                <c:pt idx="154">
                  <c:v>1364.6337901814163</c:v>
                </c:pt>
                <c:pt idx="155">
                  <c:v>1436.9443700893394</c:v>
                </c:pt>
                <c:pt idx="156">
                  <c:v>1472.7903843455879</c:v>
                </c:pt>
                <c:pt idx="157">
                  <c:v>1526.5604884876609</c:v>
                </c:pt>
                <c:pt idx="158">
                  <c:v>1542.0108071916445</c:v>
                </c:pt>
                <c:pt idx="159">
                  <c:v>1577.2395860927447</c:v>
                </c:pt>
                <c:pt idx="160">
                  <c:v>1563.6422036210392</c:v>
                </c:pt>
                <c:pt idx="161">
                  <c:v>1533.3575814213068</c:v>
                </c:pt>
                <c:pt idx="162">
                  <c:v>1541.3923751479542</c:v>
                </c:pt>
                <c:pt idx="163">
                  <c:v>1430.1454632564009</c:v>
                </c:pt>
                <c:pt idx="164">
                  <c:v>1307.155813707277</c:v>
                </c:pt>
                <c:pt idx="165">
                  <c:v>1453.6317727238734</c:v>
                </c:pt>
                <c:pt idx="166">
                  <c:v>1449.3057645682472</c:v>
                </c:pt>
                <c:pt idx="167">
                  <c:v>1422.1124405076532</c:v>
                </c:pt>
                <c:pt idx="168">
                  <c:v>1514.8185283919065</c:v>
                </c:pt>
                <c:pt idx="169">
                  <c:v>1590.220135461142</c:v>
                </c:pt>
                <c:pt idx="170">
                  <c:v>1655.1138387490403</c:v>
                </c:pt>
                <c:pt idx="171">
                  <c:v>1642.7534486012623</c:v>
                </c:pt>
                <c:pt idx="172">
                  <c:v>1524.7068285382243</c:v>
                </c:pt>
                <c:pt idx="173">
                  <c:v>1571.6784718050014</c:v>
                </c:pt>
                <c:pt idx="174">
                  <c:v>1587.7473125007357</c:v>
                </c:pt>
                <c:pt idx="175">
                  <c:v>1650.169598091702</c:v>
                </c:pt>
                <c:pt idx="176">
                  <c:v>1686.6333957007344</c:v>
                </c:pt>
                <c:pt idx="177">
                  <c:v>1617.4122745077805</c:v>
                </c:pt>
                <c:pt idx="178">
                  <c:v>1656.966091680868</c:v>
                </c:pt>
                <c:pt idx="179">
                  <c:v>1651.9007463385997</c:v>
                </c:pt>
                <c:pt idx="180">
                  <c:v>1730.1810189060932</c:v>
                </c:pt>
                <c:pt idx="181">
                  <c:v>1742.2248089786985</c:v>
                </c:pt>
                <c:pt idx="182">
                  <c:v>1800.4325398466767</c:v>
                </c:pt>
                <c:pt idx="183">
                  <c:v>1842.5824660370274</c:v>
                </c:pt>
                <c:pt idx="184">
                  <c:v>1855.9632999053886</c:v>
                </c:pt>
                <c:pt idx="185">
                  <c:v>1831.8766081992164</c:v>
                </c:pt>
                <c:pt idx="186">
                  <c:v>1922.199116243087</c:v>
                </c:pt>
                <c:pt idx="187">
                  <c:v>1905.4721395335398</c:v>
                </c:pt>
                <c:pt idx="188">
                  <c:v>2031.2542609362883</c:v>
                </c:pt>
                <c:pt idx="189">
                  <c:v>2126.9283678806487</c:v>
                </c:pt>
                <c:pt idx="190">
                  <c:v>2189.8195127905115</c:v>
                </c:pt>
                <c:pt idx="191">
                  <c:v>2276.282346433532</c:v>
                </c:pt>
                <c:pt idx="192">
                  <c:v>2256.908907383036</c:v>
                </c:pt>
                <c:pt idx="193">
                  <c:v>2388.7913793859639</c:v>
                </c:pt>
                <c:pt idx="194">
                  <c:v>2297.1430093244421</c:v>
                </c:pt>
                <c:pt idx="195">
                  <c:v>2270.3192704045605</c:v>
                </c:pt>
                <c:pt idx="196">
                  <c:v>2350.0460722233574</c:v>
                </c:pt>
                <c:pt idx="197">
                  <c:v>2381.3392857210838</c:v>
                </c:pt>
                <c:pt idx="198">
                  <c:v>2336.6344033102419</c:v>
                </c:pt>
                <c:pt idx="199">
                  <c:v>2450.634122578942</c:v>
                </c:pt>
                <c:pt idx="200">
                  <c:v>2385.0649559952199</c:v>
                </c:pt>
                <c:pt idx="201">
                  <c:v>2452.8699676292081</c:v>
                </c:pt>
                <c:pt idx="202">
                  <c:v>2490.1241566975605</c:v>
                </c:pt>
                <c:pt idx="203">
                  <c:v>2466.7941834734611</c:v>
                </c:pt>
                <c:pt idx="204">
                  <c:v>2445.8831691801565</c:v>
                </c:pt>
                <c:pt idx="205">
                  <c:v>2619.0345763759278</c:v>
                </c:pt>
                <c:pt idx="206">
                  <c:v>2595.6125501593979</c:v>
                </c:pt>
                <c:pt idx="207">
                  <c:v>2594.7767629182463</c:v>
                </c:pt>
                <c:pt idx="208">
                  <c:v>2649.1477152084349</c:v>
                </c:pt>
                <c:pt idx="209">
                  <c:v>2637.4358331594985</c:v>
                </c:pt>
                <c:pt idx="210">
                  <c:v>2738.6500706928273</c:v>
                </c:pt>
                <c:pt idx="211">
                  <c:v>2551.2771101561657</c:v>
                </c:pt>
                <c:pt idx="212">
                  <c:v>2505.2699300287195</c:v>
                </c:pt>
                <c:pt idx="213">
                  <c:v>2712.7188065847477</c:v>
                </c:pt>
                <c:pt idx="214">
                  <c:v>2722.7558661691114</c:v>
                </c:pt>
                <c:pt idx="215">
                  <c:v>2694.7332627944988</c:v>
                </c:pt>
                <c:pt idx="216">
                  <c:v>2513.9894186590836</c:v>
                </c:pt>
                <c:pt idx="217">
                  <c:v>2488.4296882395765</c:v>
                </c:pt>
                <c:pt idx="218">
                  <c:v>2622.6182591778957</c:v>
                </c:pt>
                <c:pt idx="219">
                  <c:v>2657.3076308920417</c:v>
                </c:pt>
                <c:pt idx="220">
                  <c:v>2702.9495467602437</c:v>
                </c:pt>
                <c:pt idx="221">
                  <c:v>2658.221137660455</c:v>
                </c:pt>
                <c:pt idx="222">
                  <c:v>2797.8867344542728</c:v>
                </c:pt>
                <c:pt idx="223">
                  <c:v>2779.6305235119585</c:v>
                </c:pt>
                <c:pt idx="224">
                  <c:v>2786.0208940855127</c:v>
                </c:pt>
                <c:pt idx="225">
                  <c:v>2712.9937144097435</c:v>
                </c:pt>
                <c:pt idx="226">
                  <c:v>2707.5161801003501</c:v>
                </c:pt>
                <c:pt idx="227">
                  <c:v>2714.3770261007244</c:v>
                </c:pt>
                <c:pt idx="228">
                  <c:v>2819.2116956027862</c:v>
                </c:pt>
                <c:pt idx="229">
                  <c:v>2897.6026960107174</c:v>
                </c:pt>
                <c:pt idx="230">
                  <c:v>2944.8249271476043</c:v>
                </c:pt>
                <c:pt idx="231">
                  <c:v>3022.2708779066593</c:v>
                </c:pt>
                <c:pt idx="232">
                  <c:v>3116.7168428412424</c:v>
                </c:pt>
                <c:pt idx="233">
                  <c:v>3094.048961243258</c:v>
                </c:pt>
                <c:pt idx="234">
                  <c:v>3169.6056368768186</c:v>
                </c:pt>
                <c:pt idx="235">
                  <c:v>3232.8836438114276</c:v>
                </c:pt>
                <c:pt idx="236">
                  <c:v>3289.5496283201542</c:v>
                </c:pt>
                <c:pt idx="237">
                  <c:v>3401.9403809213404</c:v>
                </c:pt>
                <c:pt idx="238">
                  <c:v>3538.8854909553288</c:v>
                </c:pt>
                <c:pt idx="239">
                  <c:v>3540.88850014321</c:v>
                </c:pt>
                <c:pt idx="240">
                  <c:v>3795.9386988085257</c:v>
                </c:pt>
                <c:pt idx="241">
                  <c:v>3730.492919702368</c:v>
                </c:pt>
                <c:pt idx="242">
                  <c:v>3604.4097200022675</c:v>
                </c:pt>
                <c:pt idx="243">
                  <c:v>3620.7701357213582</c:v>
                </c:pt>
                <c:pt idx="244">
                  <c:v>3790.1642457509461</c:v>
                </c:pt>
                <c:pt idx="245">
                  <c:v>3793.0523509062082</c:v>
                </c:pt>
                <c:pt idx="246">
                  <c:v>3857.5380339239646</c:v>
                </c:pt>
                <c:pt idx="247">
                  <c:v>4097.1914418195247</c:v>
                </c:pt>
                <c:pt idx="248">
                  <c:v>4105.8529045275309</c:v>
                </c:pt>
                <c:pt idx="249">
                  <c:v>3623.6615394198179</c:v>
                </c:pt>
                <c:pt idx="250">
                  <c:v>3670.8234943553671</c:v>
                </c:pt>
                <c:pt idx="251">
                  <c:v>3314.283749995619</c:v>
                </c:pt>
                <c:pt idx="252">
                  <c:v>3638.8250433626904</c:v>
                </c:pt>
                <c:pt idx="253">
                  <c:v>3764.9066922901638</c:v>
                </c:pt>
                <c:pt idx="254">
                  <c:v>3844.289749897102</c:v>
                </c:pt>
                <c:pt idx="255">
                  <c:v>4019.4009922946643</c:v>
                </c:pt>
                <c:pt idx="256">
                  <c:v>3752.0625934951618</c:v>
                </c:pt>
                <c:pt idx="257">
                  <c:v>4018.2339138777083</c:v>
                </c:pt>
                <c:pt idx="258">
                  <c:v>4071.9335919027699</c:v>
                </c:pt>
                <c:pt idx="259">
                  <c:v>4034.5776731306537</c:v>
                </c:pt>
                <c:pt idx="260">
                  <c:v>3947.0233030460454</c:v>
                </c:pt>
                <c:pt idx="261">
                  <c:v>4057.9267638150332</c:v>
                </c:pt>
                <c:pt idx="262">
                  <c:v>4307.7530250293057</c:v>
                </c:pt>
                <c:pt idx="263">
                  <c:v>4400.2232514645848</c:v>
                </c:pt>
                <c:pt idx="264">
                  <c:v>4539.7543307685264</c:v>
                </c:pt>
                <c:pt idx="265">
                  <c:v>4254.9392235647711</c:v>
                </c:pt>
                <c:pt idx="266">
                  <c:v>3807.5791685383947</c:v>
                </c:pt>
                <c:pt idx="267">
                  <c:v>4411.7277552103824</c:v>
                </c:pt>
                <c:pt idx="268">
                  <c:v>4736.8191500363246</c:v>
                </c:pt>
                <c:pt idx="269">
                  <c:v>4974.1622103680447</c:v>
                </c:pt>
                <c:pt idx="270">
                  <c:v>5359.6647558337791</c:v>
                </c:pt>
                <c:pt idx="271">
                  <c:v>6050.1182083393105</c:v>
                </c:pt>
                <c:pt idx="272">
                  <c:v>5835.7867206906822</c:v>
                </c:pt>
                <c:pt idx="273">
                  <c:v>5581.1830176403892</c:v>
                </c:pt>
                <c:pt idx="274">
                  <c:v>6172.386572333</c:v>
                </c:pt>
                <c:pt idx="275">
                  <c:v>6484.7525395990569</c:v>
                </c:pt>
                <c:pt idx="276">
                  <c:v>6389.7055216261533</c:v>
                </c:pt>
                <c:pt idx="277">
                  <c:v>6533.1096826480089</c:v>
                </c:pt>
                <c:pt idx="278">
                  <c:v>6558.1184265131851</c:v>
                </c:pt>
                <c:pt idx="279">
                  <c:v>7053.3547394913285</c:v>
                </c:pt>
                <c:pt idx="280">
                  <c:v>6903.2805106991718</c:v>
                </c:pt>
                <c:pt idx="281">
                  <c:v>7281.7942843813189</c:v>
                </c:pt>
                <c:pt idx="282">
                  <c:v>7481.8907095218337</c:v>
                </c:pt>
                <c:pt idx="283">
                  <c:v>7787.032140218972</c:v>
                </c:pt>
                <c:pt idx="284">
                  <c:v>7333.4842402440581</c:v>
                </c:pt>
                <c:pt idx="285">
                  <c:v>7853.7289457312108</c:v>
                </c:pt>
                <c:pt idx="286">
                  <c:v>7757.0181274934766</c:v>
                </c:pt>
                <c:pt idx="287">
                  <c:v>7838.5443880134335</c:v>
                </c:pt>
                <c:pt idx="288">
                  <c:v>7090.6531908642955</c:v>
                </c:pt>
                <c:pt idx="289">
                  <c:v>6690.506359344251</c:v>
                </c:pt>
                <c:pt idx="290">
                  <c:v>6988.2338923350699</c:v>
                </c:pt>
                <c:pt idx="291">
                  <c:v>6097.4367298452262</c:v>
                </c:pt>
                <c:pt idx="292">
                  <c:v>5892.5994403428058</c:v>
                </c:pt>
                <c:pt idx="293">
                  <c:v>5361.4582045886264</c:v>
                </c:pt>
                <c:pt idx="294">
                  <c:v>6006.929519297255</c:v>
                </c:pt>
                <c:pt idx="295">
                  <c:v>5628.2226477531594</c:v>
                </c:pt>
                <c:pt idx="296">
                  <c:v>5085.1667009167522</c:v>
                </c:pt>
                <c:pt idx="297">
                  <c:v>5311.4362784407449</c:v>
                </c:pt>
                <c:pt idx="298">
                  <c:v>5563.9100905001469</c:v>
                </c:pt>
                <c:pt idx="299">
                  <c:v>5090.7885598645571</c:v>
                </c:pt>
                <c:pt idx="300">
                  <c:v>5585.6488434033117</c:v>
                </c:pt>
                <c:pt idx="301">
                  <c:v>5498.1608255690853</c:v>
                </c:pt>
                <c:pt idx="302">
                  <c:v>5995.7553766047395</c:v>
                </c:pt>
                <c:pt idx="303">
                  <c:v>6159.799243708645</c:v>
                </c:pt>
                <c:pt idx="304">
                  <c:v>6605.4483993924787</c:v>
                </c:pt>
                <c:pt idx="305">
                  <c:v>7040.1595640048972</c:v>
                </c:pt>
                <c:pt idx="306">
                  <c:v>7215.1356898086742</c:v>
                </c:pt>
                <c:pt idx="307">
                  <c:v>7185.0630042535522</c:v>
                </c:pt>
                <c:pt idx="308">
                  <c:v>6731.2113145268722</c:v>
                </c:pt>
                <c:pt idx="309">
                  <c:v>6684.7323004000637</c:v>
                </c:pt>
                <c:pt idx="310">
                  <c:v>7472.1336027964871</c:v>
                </c:pt>
                <c:pt idx="311">
                  <c:v>7757.0983620063371</c:v>
                </c:pt>
                <c:pt idx="312">
                  <c:v>8026.882485938555</c:v>
                </c:pt>
                <c:pt idx="313">
                  <c:v>8665.0838586305563</c:v>
                </c:pt>
                <c:pt idx="314">
                  <c:v>8897.1607996162584</c:v>
                </c:pt>
                <c:pt idx="315">
                  <c:v>8462.0184592286259</c:v>
                </c:pt>
                <c:pt idx="316">
                  <c:v>9111.8253187312512</c:v>
                </c:pt>
                <c:pt idx="317">
                  <c:v>9834.1561590483525</c:v>
                </c:pt>
                <c:pt idx="318">
                  <c:v>9503.4531557318751</c:v>
                </c:pt>
                <c:pt idx="319">
                  <c:v>9726.8223187041967</c:v>
                </c:pt>
                <c:pt idx="320">
                  <c:v>9967.6000783813997</c:v>
                </c:pt>
                <c:pt idx="321">
                  <c:v>10057.527766288558</c:v>
                </c:pt>
                <c:pt idx="322">
                  <c:v>10672.52547414157</c:v>
                </c:pt>
                <c:pt idx="323">
                  <c:v>10527.13365960734</c:v>
                </c:pt>
              </c:numCache>
            </c:numRef>
          </c:val>
          <c:smooth val="0"/>
          <c:extLst>
            <c:ext xmlns:c16="http://schemas.microsoft.com/office/drawing/2014/chart" uri="{C3380CC4-5D6E-409C-BE32-E72D297353CC}">
              <c16:uniqueId val="{00000001-88D4-4F73-BAE7-58D6ACCCDCE3}"/>
            </c:ext>
          </c:extLst>
        </c:ser>
        <c:ser>
          <c:idx val="2"/>
          <c:order val="2"/>
          <c:tx>
            <c:strRef>
              <c:f>'MF Data '!$O$1</c:f>
              <c:strCache>
                <c:ptCount val="1"/>
                <c:pt idx="0">
                  <c:v>SPFIX</c:v>
                </c:pt>
              </c:strCache>
            </c:strRef>
          </c:tx>
          <c:spPr>
            <a:ln w="28575" cap="rnd">
              <a:solidFill>
                <a:schemeClr val="accent5"/>
              </a:solidFill>
              <a:round/>
            </a:ln>
            <a:effectLst/>
          </c:spPr>
          <c:marker>
            <c:symbol val="none"/>
          </c:marker>
          <c:cat>
            <c:numRef>
              <c:f>'MF Data '!$A$2:$A$325</c:f>
              <c:numCache>
                <c:formatCode>m/d/yyyy</c:formatCode>
                <c:ptCount val="324"/>
                <c:pt idx="0">
                  <c:v>35825</c:v>
                </c:pt>
                <c:pt idx="1">
                  <c:v>35853</c:v>
                </c:pt>
                <c:pt idx="2">
                  <c:v>35885</c:v>
                </c:pt>
                <c:pt idx="3">
                  <c:v>35915</c:v>
                </c:pt>
                <c:pt idx="4">
                  <c:v>35944</c:v>
                </c:pt>
                <c:pt idx="5">
                  <c:v>35976</c:v>
                </c:pt>
                <c:pt idx="6">
                  <c:v>36007</c:v>
                </c:pt>
                <c:pt idx="7">
                  <c:v>36038</c:v>
                </c:pt>
                <c:pt idx="8">
                  <c:v>36068</c:v>
                </c:pt>
                <c:pt idx="9">
                  <c:v>36098</c:v>
                </c:pt>
                <c:pt idx="10">
                  <c:v>36129</c:v>
                </c:pt>
                <c:pt idx="11">
                  <c:v>36160</c:v>
                </c:pt>
                <c:pt idx="12">
                  <c:v>36189</c:v>
                </c:pt>
                <c:pt idx="13">
                  <c:v>36217</c:v>
                </c:pt>
                <c:pt idx="14">
                  <c:v>36250</c:v>
                </c:pt>
                <c:pt idx="15">
                  <c:v>36280</c:v>
                </c:pt>
                <c:pt idx="16">
                  <c:v>36308</c:v>
                </c:pt>
                <c:pt idx="17">
                  <c:v>36341</c:v>
                </c:pt>
                <c:pt idx="18">
                  <c:v>36371</c:v>
                </c:pt>
                <c:pt idx="19">
                  <c:v>36403</c:v>
                </c:pt>
                <c:pt idx="20">
                  <c:v>36433</c:v>
                </c:pt>
                <c:pt idx="21">
                  <c:v>36462</c:v>
                </c:pt>
                <c:pt idx="22">
                  <c:v>36494</c:v>
                </c:pt>
                <c:pt idx="23">
                  <c:v>36525</c:v>
                </c:pt>
                <c:pt idx="24">
                  <c:v>36556</c:v>
                </c:pt>
                <c:pt idx="25">
                  <c:v>36585</c:v>
                </c:pt>
                <c:pt idx="26">
                  <c:v>36616</c:v>
                </c:pt>
                <c:pt idx="27">
                  <c:v>36644</c:v>
                </c:pt>
                <c:pt idx="28">
                  <c:v>36677</c:v>
                </c:pt>
                <c:pt idx="29">
                  <c:v>36707</c:v>
                </c:pt>
                <c:pt idx="30">
                  <c:v>36738</c:v>
                </c:pt>
                <c:pt idx="31">
                  <c:v>36769</c:v>
                </c:pt>
                <c:pt idx="32">
                  <c:v>36798</c:v>
                </c:pt>
                <c:pt idx="33">
                  <c:v>36830</c:v>
                </c:pt>
                <c:pt idx="34">
                  <c:v>36860</c:v>
                </c:pt>
                <c:pt idx="35">
                  <c:v>36889</c:v>
                </c:pt>
                <c:pt idx="36">
                  <c:v>36922</c:v>
                </c:pt>
                <c:pt idx="37">
                  <c:v>36950</c:v>
                </c:pt>
                <c:pt idx="38">
                  <c:v>36980</c:v>
                </c:pt>
                <c:pt idx="39">
                  <c:v>37011</c:v>
                </c:pt>
                <c:pt idx="40">
                  <c:v>37042</c:v>
                </c:pt>
                <c:pt idx="41">
                  <c:v>37071</c:v>
                </c:pt>
                <c:pt idx="42">
                  <c:v>37103</c:v>
                </c:pt>
                <c:pt idx="43">
                  <c:v>37134</c:v>
                </c:pt>
                <c:pt idx="44">
                  <c:v>37162</c:v>
                </c:pt>
                <c:pt idx="45">
                  <c:v>37195</c:v>
                </c:pt>
                <c:pt idx="46">
                  <c:v>37225</c:v>
                </c:pt>
                <c:pt idx="47">
                  <c:v>37256</c:v>
                </c:pt>
                <c:pt idx="48">
                  <c:v>37287</c:v>
                </c:pt>
                <c:pt idx="49">
                  <c:v>37315</c:v>
                </c:pt>
                <c:pt idx="50">
                  <c:v>37343</c:v>
                </c:pt>
                <c:pt idx="51">
                  <c:v>37376</c:v>
                </c:pt>
                <c:pt idx="52">
                  <c:v>37407</c:v>
                </c:pt>
                <c:pt idx="53">
                  <c:v>37435</c:v>
                </c:pt>
                <c:pt idx="54">
                  <c:v>37468</c:v>
                </c:pt>
                <c:pt idx="55">
                  <c:v>37498</c:v>
                </c:pt>
                <c:pt idx="56">
                  <c:v>37529</c:v>
                </c:pt>
                <c:pt idx="57">
                  <c:v>37560</c:v>
                </c:pt>
                <c:pt idx="58">
                  <c:v>37589</c:v>
                </c:pt>
                <c:pt idx="59">
                  <c:v>37621</c:v>
                </c:pt>
                <c:pt idx="60">
                  <c:v>37652</c:v>
                </c:pt>
                <c:pt idx="61">
                  <c:v>37680</c:v>
                </c:pt>
                <c:pt idx="62">
                  <c:v>37711</c:v>
                </c:pt>
                <c:pt idx="63">
                  <c:v>37741</c:v>
                </c:pt>
                <c:pt idx="64">
                  <c:v>37771</c:v>
                </c:pt>
                <c:pt idx="65">
                  <c:v>37802</c:v>
                </c:pt>
                <c:pt idx="66">
                  <c:v>37833</c:v>
                </c:pt>
                <c:pt idx="67">
                  <c:v>37862</c:v>
                </c:pt>
                <c:pt idx="68">
                  <c:v>37894</c:v>
                </c:pt>
                <c:pt idx="69">
                  <c:v>37925</c:v>
                </c:pt>
                <c:pt idx="70">
                  <c:v>37953</c:v>
                </c:pt>
                <c:pt idx="71">
                  <c:v>37986</c:v>
                </c:pt>
                <c:pt idx="72">
                  <c:v>38016</c:v>
                </c:pt>
                <c:pt idx="73">
                  <c:v>38044</c:v>
                </c:pt>
                <c:pt idx="74">
                  <c:v>38077</c:v>
                </c:pt>
                <c:pt idx="75">
                  <c:v>38107</c:v>
                </c:pt>
                <c:pt idx="76">
                  <c:v>38135</c:v>
                </c:pt>
                <c:pt idx="77">
                  <c:v>38168</c:v>
                </c:pt>
                <c:pt idx="78">
                  <c:v>38198</c:v>
                </c:pt>
                <c:pt idx="79">
                  <c:v>38230</c:v>
                </c:pt>
                <c:pt idx="80">
                  <c:v>38260</c:v>
                </c:pt>
                <c:pt idx="81">
                  <c:v>38289</c:v>
                </c:pt>
                <c:pt idx="82">
                  <c:v>38321</c:v>
                </c:pt>
                <c:pt idx="83">
                  <c:v>38352</c:v>
                </c:pt>
                <c:pt idx="84">
                  <c:v>38383</c:v>
                </c:pt>
                <c:pt idx="85">
                  <c:v>38411</c:v>
                </c:pt>
                <c:pt idx="86">
                  <c:v>38442</c:v>
                </c:pt>
                <c:pt idx="87">
                  <c:v>38471</c:v>
                </c:pt>
                <c:pt idx="88">
                  <c:v>38503</c:v>
                </c:pt>
                <c:pt idx="89">
                  <c:v>38533</c:v>
                </c:pt>
                <c:pt idx="90">
                  <c:v>38562</c:v>
                </c:pt>
                <c:pt idx="91">
                  <c:v>38595</c:v>
                </c:pt>
                <c:pt idx="92">
                  <c:v>38625</c:v>
                </c:pt>
                <c:pt idx="93">
                  <c:v>38656</c:v>
                </c:pt>
                <c:pt idx="94">
                  <c:v>38686</c:v>
                </c:pt>
                <c:pt idx="95">
                  <c:v>38716</c:v>
                </c:pt>
                <c:pt idx="96">
                  <c:v>38748</c:v>
                </c:pt>
                <c:pt idx="97">
                  <c:v>38776</c:v>
                </c:pt>
                <c:pt idx="98">
                  <c:v>38807</c:v>
                </c:pt>
                <c:pt idx="99">
                  <c:v>38835</c:v>
                </c:pt>
                <c:pt idx="100">
                  <c:v>38868</c:v>
                </c:pt>
                <c:pt idx="101">
                  <c:v>38898</c:v>
                </c:pt>
                <c:pt idx="102">
                  <c:v>38929</c:v>
                </c:pt>
                <c:pt idx="103">
                  <c:v>38960</c:v>
                </c:pt>
                <c:pt idx="104">
                  <c:v>38989</c:v>
                </c:pt>
                <c:pt idx="105">
                  <c:v>39021</c:v>
                </c:pt>
                <c:pt idx="106">
                  <c:v>39051</c:v>
                </c:pt>
                <c:pt idx="107">
                  <c:v>39080</c:v>
                </c:pt>
                <c:pt idx="108">
                  <c:v>39113</c:v>
                </c:pt>
                <c:pt idx="109">
                  <c:v>39141</c:v>
                </c:pt>
                <c:pt idx="110">
                  <c:v>39171</c:v>
                </c:pt>
                <c:pt idx="111">
                  <c:v>39202</c:v>
                </c:pt>
                <c:pt idx="112">
                  <c:v>39233</c:v>
                </c:pt>
                <c:pt idx="113">
                  <c:v>39262</c:v>
                </c:pt>
                <c:pt idx="114">
                  <c:v>39294</c:v>
                </c:pt>
                <c:pt idx="115">
                  <c:v>39325</c:v>
                </c:pt>
                <c:pt idx="116">
                  <c:v>39353</c:v>
                </c:pt>
                <c:pt idx="117">
                  <c:v>39386</c:v>
                </c:pt>
                <c:pt idx="118">
                  <c:v>39416</c:v>
                </c:pt>
                <c:pt idx="119">
                  <c:v>39447</c:v>
                </c:pt>
                <c:pt idx="120">
                  <c:v>39478</c:v>
                </c:pt>
                <c:pt idx="121">
                  <c:v>39507</c:v>
                </c:pt>
                <c:pt idx="122">
                  <c:v>39538</c:v>
                </c:pt>
                <c:pt idx="123">
                  <c:v>39568</c:v>
                </c:pt>
                <c:pt idx="124">
                  <c:v>39598</c:v>
                </c:pt>
                <c:pt idx="125">
                  <c:v>39629</c:v>
                </c:pt>
                <c:pt idx="126">
                  <c:v>39660</c:v>
                </c:pt>
                <c:pt idx="127">
                  <c:v>39689</c:v>
                </c:pt>
                <c:pt idx="128">
                  <c:v>39721</c:v>
                </c:pt>
                <c:pt idx="129">
                  <c:v>39752</c:v>
                </c:pt>
                <c:pt idx="130">
                  <c:v>39780</c:v>
                </c:pt>
                <c:pt idx="131">
                  <c:v>39813</c:v>
                </c:pt>
                <c:pt idx="132">
                  <c:v>39843</c:v>
                </c:pt>
                <c:pt idx="133">
                  <c:v>39871</c:v>
                </c:pt>
                <c:pt idx="134">
                  <c:v>39903</c:v>
                </c:pt>
                <c:pt idx="135">
                  <c:v>39933</c:v>
                </c:pt>
                <c:pt idx="136">
                  <c:v>39962</c:v>
                </c:pt>
                <c:pt idx="137">
                  <c:v>39994</c:v>
                </c:pt>
                <c:pt idx="138">
                  <c:v>40025</c:v>
                </c:pt>
                <c:pt idx="139">
                  <c:v>40056</c:v>
                </c:pt>
                <c:pt idx="140">
                  <c:v>40086</c:v>
                </c:pt>
                <c:pt idx="141">
                  <c:v>40116</c:v>
                </c:pt>
                <c:pt idx="142">
                  <c:v>40147</c:v>
                </c:pt>
                <c:pt idx="143">
                  <c:v>40178</c:v>
                </c:pt>
                <c:pt idx="144">
                  <c:v>40207</c:v>
                </c:pt>
                <c:pt idx="145">
                  <c:v>40235</c:v>
                </c:pt>
                <c:pt idx="146">
                  <c:v>40268</c:v>
                </c:pt>
                <c:pt idx="147">
                  <c:v>40298</c:v>
                </c:pt>
                <c:pt idx="148">
                  <c:v>40326</c:v>
                </c:pt>
                <c:pt idx="149">
                  <c:v>40359</c:v>
                </c:pt>
                <c:pt idx="150">
                  <c:v>40389</c:v>
                </c:pt>
                <c:pt idx="151">
                  <c:v>40421</c:v>
                </c:pt>
                <c:pt idx="152">
                  <c:v>40451</c:v>
                </c:pt>
                <c:pt idx="153">
                  <c:v>40480</c:v>
                </c:pt>
                <c:pt idx="154">
                  <c:v>40512</c:v>
                </c:pt>
                <c:pt idx="155">
                  <c:v>40543</c:v>
                </c:pt>
                <c:pt idx="156">
                  <c:v>40574</c:v>
                </c:pt>
                <c:pt idx="157">
                  <c:v>40602</c:v>
                </c:pt>
                <c:pt idx="158">
                  <c:v>40633</c:v>
                </c:pt>
                <c:pt idx="159">
                  <c:v>40662</c:v>
                </c:pt>
                <c:pt idx="160">
                  <c:v>40694</c:v>
                </c:pt>
                <c:pt idx="161">
                  <c:v>40724</c:v>
                </c:pt>
                <c:pt idx="162">
                  <c:v>40753</c:v>
                </c:pt>
                <c:pt idx="163">
                  <c:v>40786</c:v>
                </c:pt>
                <c:pt idx="164">
                  <c:v>40816</c:v>
                </c:pt>
                <c:pt idx="165">
                  <c:v>40847</c:v>
                </c:pt>
                <c:pt idx="166">
                  <c:v>40877</c:v>
                </c:pt>
                <c:pt idx="167">
                  <c:v>40907</c:v>
                </c:pt>
                <c:pt idx="168">
                  <c:v>40939</c:v>
                </c:pt>
                <c:pt idx="169">
                  <c:v>40968</c:v>
                </c:pt>
                <c:pt idx="170">
                  <c:v>40998</c:v>
                </c:pt>
                <c:pt idx="171">
                  <c:v>41029</c:v>
                </c:pt>
                <c:pt idx="172">
                  <c:v>41060</c:v>
                </c:pt>
                <c:pt idx="173">
                  <c:v>41089</c:v>
                </c:pt>
                <c:pt idx="174">
                  <c:v>41121</c:v>
                </c:pt>
                <c:pt idx="175">
                  <c:v>41152</c:v>
                </c:pt>
                <c:pt idx="176">
                  <c:v>41180</c:v>
                </c:pt>
                <c:pt idx="177">
                  <c:v>41213</c:v>
                </c:pt>
                <c:pt idx="178">
                  <c:v>41243</c:v>
                </c:pt>
                <c:pt idx="179">
                  <c:v>41274</c:v>
                </c:pt>
                <c:pt idx="180">
                  <c:v>41305</c:v>
                </c:pt>
                <c:pt idx="181">
                  <c:v>41333</c:v>
                </c:pt>
                <c:pt idx="182">
                  <c:v>41361</c:v>
                </c:pt>
                <c:pt idx="183">
                  <c:v>41394</c:v>
                </c:pt>
                <c:pt idx="184">
                  <c:v>41425</c:v>
                </c:pt>
                <c:pt idx="185">
                  <c:v>41453</c:v>
                </c:pt>
                <c:pt idx="186">
                  <c:v>41486</c:v>
                </c:pt>
                <c:pt idx="187">
                  <c:v>41516</c:v>
                </c:pt>
                <c:pt idx="188">
                  <c:v>41547</c:v>
                </c:pt>
                <c:pt idx="189">
                  <c:v>41578</c:v>
                </c:pt>
                <c:pt idx="190">
                  <c:v>41607</c:v>
                </c:pt>
                <c:pt idx="191">
                  <c:v>41639</c:v>
                </c:pt>
                <c:pt idx="192">
                  <c:v>41670</c:v>
                </c:pt>
                <c:pt idx="193">
                  <c:v>41698</c:v>
                </c:pt>
                <c:pt idx="194">
                  <c:v>41729</c:v>
                </c:pt>
                <c:pt idx="195">
                  <c:v>41759</c:v>
                </c:pt>
                <c:pt idx="196">
                  <c:v>41789</c:v>
                </c:pt>
                <c:pt idx="197">
                  <c:v>41820</c:v>
                </c:pt>
                <c:pt idx="198">
                  <c:v>41851</c:v>
                </c:pt>
                <c:pt idx="199">
                  <c:v>41880</c:v>
                </c:pt>
                <c:pt idx="200">
                  <c:v>41912</c:v>
                </c:pt>
                <c:pt idx="201">
                  <c:v>41943</c:v>
                </c:pt>
                <c:pt idx="202">
                  <c:v>41971</c:v>
                </c:pt>
                <c:pt idx="203">
                  <c:v>42004</c:v>
                </c:pt>
                <c:pt idx="204">
                  <c:v>42034</c:v>
                </c:pt>
                <c:pt idx="205">
                  <c:v>42062</c:v>
                </c:pt>
                <c:pt idx="206">
                  <c:v>42094</c:v>
                </c:pt>
                <c:pt idx="207">
                  <c:v>42124</c:v>
                </c:pt>
                <c:pt idx="208">
                  <c:v>42153</c:v>
                </c:pt>
                <c:pt idx="209">
                  <c:v>42185</c:v>
                </c:pt>
                <c:pt idx="210">
                  <c:v>42216</c:v>
                </c:pt>
                <c:pt idx="211">
                  <c:v>42247</c:v>
                </c:pt>
                <c:pt idx="212">
                  <c:v>42277</c:v>
                </c:pt>
                <c:pt idx="213">
                  <c:v>42307</c:v>
                </c:pt>
                <c:pt idx="214">
                  <c:v>42338</c:v>
                </c:pt>
                <c:pt idx="215">
                  <c:v>42369</c:v>
                </c:pt>
                <c:pt idx="216">
                  <c:v>42398</c:v>
                </c:pt>
                <c:pt idx="217">
                  <c:v>42429</c:v>
                </c:pt>
                <c:pt idx="218">
                  <c:v>42460</c:v>
                </c:pt>
                <c:pt idx="219">
                  <c:v>42489</c:v>
                </c:pt>
                <c:pt idx="220">
                  <c:v>42521</c:v>
                </c:pt>
                <c:pt idx="221">
                  <c:v>42551</c:v>
                </c:pt>
                <c:pt idx="222">
                  <c:v>42580</c:v>
                </c:pt>
                <c:pt idx="223">
                  <c:v>42613</c:v>
                </c:pt>
                <c:pt idx="224">
                  <c:v>42643</c:v>
                </c:pt>
                <c:pt idx="225">
                  <c:v>42674</c:v>
                </c:pt>
                <c:pt idx="226">
                  <c:v>42704</c:v>
                </c:pt>
                <c:pt idx="227">
                  <c:v>42734</c:v>
                </c:pt>
                <c:pt idx="228">
                  <c:v>42766</c:v>
                </c:pt>
                <c:pt idx="229">
                  <c:v>42794</c:v>
                </c:pt>
                <c:pt idx="230">
                  <c:v>42825</c:v>
                </c:pt>
                <c:pt idx="231">
                  <c:v>42853</c:v>
                </c:pt>
                <c:pt idx="232">
                  <c:v>42886</c:v>
                </c:pt>
                <c:pt idx="233">
                  <c:v>42916</c:v>
                </c:pt>
                <c:pt idx="234">
                  <c:v>42947</c:v>
                </c:pt>
                <c:pt idx="235">
                  <c:v>42978</c:v>
                </c:pt>
                <c:pt idx="236">
                  <c:v>43007</c:v>
                </c:pt>
                <c:pt idx="237">
                  <c:v>43039</c:v>
                </c:pt>
                <c:pt idx="238">
                  <c:v>43069</c:v>
                </c:pt>
                <c:pt idx="239">
                  <c:v>43098</c:v>
                </c:pt>
                <c:pt idx="240">
                  <c:v>43131</c:v>
                </c:pt>
                <c:pt idx="241">
                  <c:v>43159</c:v>
                </c:pt>
                <c:pt idx="242">
                  <c:v>43188</c:v>
                </c:pt>
                <c:pt idx="243">
                  <c:v>43220</c:v>
                </c:pt>
                <c:pt idx="244">
                  <c:v>43251</c:v>
                </c:pt>
                <c:pt idx="245">
                  <c:v>43280</c:v>
                </c:pt>
                <c:pt idx="246">
                  <c:v>43312</c:v>
                </c:pt>
                <c:pt idx="247">
                  <c:v>43343</c:v>
                </c:pt>
                <c:pt idx="248">
                  <c:v>43371</c:v>
                </c:pt>
                <c:pt idx="249">
                  <c:v>43404</c:v>
                </c:pt>
                <c:pt idx="250">
                  <c:v>43434</c:v>
                </c:pt>
                <c:pt idx="251">
                  <c:v>43465</c:v>
                </c:pt>
                <c:pt idx="252">
                  <c:v>43496</c:v>
                </c:pt>
                <c:pt idx="253">
                  <c:v>43524</c:v>
                </c:pt>
                <c:pt idx="254">
                  <c:v>43553</c:v>
                </c:pt>
                <c:pt idx="255">
                  <c:v>43585</c:v>
                </c:pt>
                <c:pt idx="256">
                  <c:v>43616</c:v>
                </c:pt>
                <c:pt idx="257">
                  <c:v>43644</c:v>
                </c:pt>
                <c:pt idx="258">
                  <c:v>43677</c:v>
                </c:pt>
                <c:pt idx="259">
                  <c:v>43707</c:v>
                </c:pt>
                <c:pt idx="260">
                  <c:v>43738</c:v>
                </c:pt>
                <c:pt idx="261">
                  <c:v>43769</c:v>
                </c:pt>
                <c:pt idx="262">
                  <c:v>43798</c:v>
                </c:pt>
                <c:pt idx="263">
                  <c:v>43830</c:v>
                </c:pt>
                <c:pt idx="264">
                  <c:v>43861</c:v>
                </c:pt>
                <c:pt idx="265">
                  <c:v>43889</c:v>
                </c:pt>
                <c:pt idx="266">
                  <c:v>43921</c:v>
                </c:pt>
                <c:pt idx="267">
                  <c:v>43951</c:v>
                </c:pt>
                <c:pt idx="268">
                  <c:v>43980</c:v>
                </c:pt>
                <c:pt idx="269">
                  <c:v>44012</c:v>
                </c:pt>
                <c:pt idx="270">
                  <c:v>44043</c:v>
                </c:pt>
                <c:pt idx="271">
                  <c:v>44074</c:v>
                </c:pt>
                <c:pt idx="272">
                  <c:v>44104</c:v>
                </c:pt>
                <c:pt idx="273">
                  <c:v>44134</c:v>
                </c:pt>
                <c:pt idx="274">
                  <c:v>44165</c:v>
                </c:pt>
                <c:pt idx="275">
                  <c:v>44196</c:v>
                </c:pt>
                <c:pt idx="276">
                  <c:v>44225</c:v>
                </c:pt>
                <c:pt idx="277">
                  <c:v>44253</c:v>
                </c:pt>
                <c:pt idx="278">
                  <c:v>44286</c:v>
                </c:pt>
                <c:pt idx="279">
                  <c:v>44316</c:v>
                </c:pt>
                <c:pt idx="280">
                  <c:v>44344</c:v>
                </c:pt>
                <c:pt idx="281">
                  <c:v>44377</c:v>
                </c:pt>
                <c:pt idx="282">
                  <c:v>44407</c:v>
                </c:pt>
                <c:pt idx="283">
                  <c:v>44439</c:v>
                </c:pt>
                <c:pt idx="284">
                  <c:v>44469</c:v>
                </c:pt>
                <c:pt idx="285">
                  <c:v>44498</c:v>
                </c:pt>
                <c:pt idx="286">
                  <c:v>44530</c:v>
                </c:pt>
                <c:pt idx="287">
                  <c:v>44561</c:v>
                </c:pt>
                <c:pt idx="288">
                  <c:v>44592</c:v>
                </c:pt>
                <c:pt idx="289">
                  <c:v>44620</c:v>
                </c:pt>
                <c:pt idx="290">
                  <c:v>44651</c:v>
                </c:pt>
                <c:pt idx="291">
                  <c:v>44680</c:v>
                </c:pt>
                <c:pt idx="292">
                  <c:v>44712</c:v>
                </c:pt>
                <c:pt idx="293">
                  <c:v>44742</c:v>
                </c:pt>
                <c:pt idx="294">
                  <c:v>44771</c:v>
                </c:pt>
                <c:pt idx="295">
                  <c:v>44804</c:v>
                </c:pt>
                <c:pt idx="296">
                  <c:v>44834</c:v>
                </c:pt>
                <c:pt idx="297">
                  <c:v>44865</c:v>
                </c:pt>
                <c:pt idx="298">
                  <c:v>44895</c:v>
                </c:pt>
                <c:pt idx="299">
                  <c:v>44925</c:v>
                </c:pt>
                <c:pt idx="300">
                  <c:v>44957</c:v>
                </c:pt>
                <c:pt idx="301">
                  <c:v>44985</c:v>
                </c:pt>
                <c:pt idx="302">
                  <c:v>45016</c:v>
                </c:pt>
                <c:pt idx="303">
                  <c:v>45044</c:v>
                </c:pt>
                <c:pt idx="304">
                  <c:v>45077</c:v>
                </c:pt>
                <c:pt idx="305">
                  <c:v>45107</c:v>
                </c:pt>
                <c:pt idx="306">
                  <c:v>45138</c:v>
                </c:pt>
                <c:pt idx="307">
                  <c:v>45169</c:v>
                </c:pt>
                <c:pt idx="308">
                  <c:v>45198</c:v>
                </c:pt>
                <c:pt idx="309">
                  <c:v>45230</c:v>
                </c:pt>
                <c:pt idx="310">
                  <c:v>45260</c:v>
                </c:pt>
                <c:pt idx="311">
                  <c:v>45289</c:v>
                </c:pt>
                <c:pt idx="312">
                  <c:v>45322</c:v>
                </c:pt>
                <c:pt idx="313">
                  <c:v>45351</c:v>
                </c:pt>
                <c:pt idx="314">
                  <c:v>45379</c:v>
                </c:pt>
                <c:pt idx="315">
                  <c:v>45412</c:v>
                </c:pt>
                <c:pt idx="316">
                  <c:v>45443</c:v>
                </c:pt>
                <c:pt idx="317">
                  <c:v>45471</c:v>
                </c:pt>
                <c:pt idx="318">
                  <c:v>45504</c:v>
                </c:pt>
                <c:pt idx="319">
                  <c:v>45534</c:v>
                </c:pt>
                <c:pt idx="320">
                  <c:v>45565</c:v>
                </c:pt>
                <c:pt idx="321">
                  <c:v>45596</c:v>
                </c:pt>
                <c:pt idx="322">
                  <c:v>45625</c:v>
                </c:pt>
                <c:pt idx="323">
                  <c:v>45657</c:v>
                </c:pt>
              </c:numCache>
            </c:numRef>
          </c:cat>
          <c:val>
            <c:numRef>
              <c:f>'MF Data '!$O$2:$O$325</c:f>
              <c:numCache>
                <c:formatCode>General</c:formatCode>
                <c:ptCount val="324"/>
                <c:pt idx="0">
                  <c:v>1010.885</c:v>
                </c:pt>
                <c:pt idx="1">
                  <c:v>1083.2936816649999</c:v>
                </c:pt>
                <c:pt idx="2">
                  <c:v>1138.4755785153334</c:v>
                </c:pt>
                <c:pt idx="3">
                  <c:v>1150.3498787992482</c:v>
                </c:pt>
                <c:pt idx="4">
                  <c:v>1130.4016615509904</c:v>
                </c:pt>
                <c:pt idx="5">
                  <c:v>1175.5555559216446</c:v>
                </c:pt>
                <c:pt idx="6">
                  <c:v>1162.6796959176347</c:v>
                </c:pt>
                <c:pt idx="7">
                  <c:v>996.71879612235159</c:v>
                </c:pt>
                <c:pt idx="8">
                  <c:v>1059.6406570027596</c:v>
                </c:pt>
                <c:pt idx="9">
                  <c:v>1148.3039696961516</c:v>
                </c:pt>
                <c:pt idx="10">
                  <c:v>1217.072449529345</c:v>
                </c:pt>
                <c:pt idx="11">
                  <c:v>1287.4581834305263</c:v>
                </c:pt>
                <c:pt idx="12">
                  <c:v>1343.0712271219913</c:v>
                </c:pt>
                <c:pt idx="13">
                  <c:v>1301.7301516799494</c:v>
                </c:pt>
                <c:pt idx="14">
                  <c:v>1352.7462580544382</c:v>
                </c:pt>
                <c:pt idx="15">
                  <c:v>1402.6098378725828</c:v>
                </c:pt>
                <c:pt idx="16">
                  <c:v>1368.0509340772403</c:v>
                </c:pt>
                <c:pt idx="17">
                  <c:v>1443.5481929252269</c:v>
                </c:pt>
                <c:pt idx="18">
                  <c:v>1399.4593440169047</c:v>
                </c:pt>
                <c:pt idx="19">
                  <c:v>1393.0190321157388</c:v>
                </c:pt>
                <c:pt idx="20">
                  <c:v>1354.8099130838361</c:v>
                </c:pt>
                <c:pt idx="21">
                  <c:v>1440.3878360536899</c:v>
                </c:pt>
                <c:pt idx="22">
                  <c:v>1469.3194661286643</c:v>
                </c:pt>
                <c:pt idx="23">
                  <c:v>1558.0560766465726</c:v>
                </c:pt>
                <c:pt idx="24">
                  <c:v>1479.6562529257938</c:v>
                </c:pt>
                <c:pt idx="25">
                  <c:v>1450.9094912439514</c:v>
                </c:pt>
                <c:pt idx="26">
                  <c:v>1591.3647845438222</c:v>
                </c:pt>
                <c:pt idx="27">
                  <c:v>1542.0770344369309</c:v>
                </c:pt>
                <c:pt idx="28">
                  <c:v>1511.6657332408001</c:v>
                </c:pt>
                <c:pt idx="29">
                  <c:v>1548.6894503793337</c:v>
                </c:pt>
                <c:pt idx="30">
                  <c:v>1527.6613450220832</c:v>
                </c:pt>
                <c:pt idx="31">
                  <c:v>1621.2351853887208</c:v>
                </c:pt>
                <c:pt idx="32">
                  <c:v>1537.3249158985566</c:v>
                </c:pt>
                <c:pt idx="33">
                  <c:v>1531.5261263157872</c:v>
                </c:pt>
                <c:pt idx="34">
                  <c:v>1411.4452888558717</c:v>
                </c:pt>
                <c:pt idx="35">
                  <c:v>1419.3211535676874</c:v>
                </c:pt>
                <c:pt idx="36">
                  <c:v>1468.2082513811727</c:v>
                </c:pt>
                <c:pt idx="37">
                  <c:v>1338.7401795661294</c:v>
                </c:pt>
                <c:pt idx="38">
                  <c:v>1255.7838055991347</c:v>
                </c:pt>
                <c:pt idx="39">
                  <c:v>1351.2208632570578</c:v>
                </c:pt>
                <c:pt idx="40">
                  <c:v>1360.926682717833</c:v>
                </c:pt>
                <c:pt idx="41">
                  <c:v>1327.9010749083193</c:v>
                </c:pt>
                <c:pt idx="42">
                  <c:v>1314.9142023957158</c:v>
                </c:pt>
                <c:pt idx="43">
                  <c:v>1233.2054338588462</c:v>
                </c:pt>
                <c:pt idx="44">
                  <c:v>1134.7216479108786</c:v>
                </c:pt>
                <c:pt idx="45">
                  <c:v>1154.8289155118593</c:v>
                </c:pt>
                <c:pt idx="46">
                  <c:v>1241.7806038764093</c:v>
                </c:pt>
                <c:pt idx="47">
                  <c:v>1251.6825624117196</c:v>
                </c:pt>
                <c:pt idx="48">
                  <c:v>1233.6921289421759</c:v>
                </c:pt>
                <c:pt idx="49">
                  <c:v>1211.3400949500017</c:v>
                </c:pt>
                <c:pt idx="50">
                  <c:v>1255.2366373107998</c:v>
                </c:pt>
                <c:pt idx="51">
                  <c:v>1179.7906392252341</c:v>
                </c:pt>
                <c:pt idx="52">
                  <c:v>1171.0436714260181</c:v>
                </c:pt>
                <c:pt idx="53">
                  <c:v>1087.9335310212423</c:v>
                </c:pt>
                <c:pt idx="54">
                  <c:v>1007.3252719072855</c:v>
                </c:pt>
                <c:pt idx="55">
                  <c:v>1013.3571356354664</c:v>
                </c:pt>
                <c:pt idx="56">
                  <c:v>902.05201457153805</c:v>
                </c:pt>
                <c:pt idx="57">
                  <c:v>981.95307586624108</c:v>
                </c:pt>
                <c:pt idx="58">
                  <c:v>1041.4653239821905</c:v>
                </c:pt>
                <c:pt idx="59">
                  <c:v>979.6106154602403</c:v>
                </c:pt>
                <c:pt idx="60">
                  <c:v>953.04455517957399</c:v>
                </c:pt>
                <c:pt idx="61">
                  <c:v>938.65453544091758</c:v>
                </c:pt>
                <c:pt idx="62">
                  <c:v>947.34929240270685</c:v>
                </c:pt>
                <c:pt idx="63">
                  <c:v>1025.1370901511855</c:v>
                </c:pt>
                <c:pt idx="64">
                  <c:v>1080.1449212716079</c:v>
                </c:pt>
                <c:pt idx="65">
                  <c:v>1094.0744701763267</c:v>
                </c:pt>
                <c:pt idx="66">
                  <c:v>1113.0336866700122</c:v>
                </c:pt>
                <c:pt idx="67">
                  <c:v>1135.3388817508794</c:v>
                </c:pt>
                <c:pt idx="68">
                  <c:v>1122.552695264601</c:v>
                </c:pt>
                <c:pt idx="69">
                  <c:v>1186.3473649364882</c:v>
                </c:pt>
                <c:pt idx="70">
                  <c:v>1196.979410021049</c:v>
                </c:pt>
                <c:pt idx="71">
                  <c:v>1258.7363657016749</c:v>
                </c:pt>
                <c:pt idx="72">
                  <c:v>1281.2035510930841</c:v>
                </c:pt>
                <c:pt idx="73">
                  <c:v>1298.6163885559902</c:v>
                </c:pt>
                <c:pt idx="74">
                  <c:v>1279.1825943012498</c:v>
                </c:pt>
                <c:pt idx="75">
                  <c:v>1258.8960375382262</c:v>
                </c:pt>
                <c:pt idx="76">
                  <c:v>1275.8017524263269</c:v>
                </c:pt>
                <c:pt idx="77">
                  <c:v>1300.4783099217568</c:v>
                </c:pt>
                <c:pt idx="78">
                  <c:v>1256.9408970621962</c:v>
                </c:pt>
                <c:pt idx="79">
                  <c:v>1262.0302507544011</c:v>
                </c:pt>
                <c:pt idx="80">
                  <c:v>1274.8941251003405</c:v>
                </c:pt>
                <c:pt idx="81">
                  <c:v>1294.7608002517791</c:v>
                </c:pt>
                <c:pt idx="82">
                  <c:v>1346.982387608334</c:v>
                </c:pt>
                <c:pt idx="83">
                  <c:v>1392.6760711431714</c:v>
                </c:pt>
                <c:pt idx="84">
                  <c:v>1358.9593834607954</c:v>
                </c:pt>
                <c:pt idx="85">
                  <c:v>1387.5328634574421</c:v>
                </c:pt>
                <c:pt idx="86">
                  <c:v>1362.9596564456108</c:v>
                </c:pt>
                <c:pt idx="87">
                  <c:v>1336.5618538195722</c:v>
                </c:pt>
                <c:pt idx="88">
                  <c:v>1378.455048565693</c:v>
                </c:pt>
                <c:pt idx="89">
                  <c:v>1380.5778693404843</c:v>
                </c:pt>
                <c:pt idx="90">
                  <c:v>1431.2630246575816</c:v>
                </c:pt>
                <c:pt idx="91">
                  <c:v>1417.4398863654387</c:v>
                </c:pt>
                <c:pt idx="92">
                  <c:v>1428.6362440278394</c:v>
                </c:pt>
                <c:pt idx="93">
                  <c:v>1404.9408832843937</c:v>
                </c:pt>
                <c:pt idx="94">
                  <c:v>1457.5320353683785</c:v>
                </c:pt>
                <c:pt idx="95">
                  <c:v>1457.9940730235901</c:v>
                </c:pt>
                <c:pt idx="96">
                  <c:v>1496.3014092982119</c:v>
                </c:pt>
                <c:pt idx="97">
                  <c:v>1499.7833026776489</c:v>
                </c:pt>
                <c:pt idx="98">
                  <c:v>1518.3386216983768</c:v>
                </c:pt>
                <c:pt idx="99">
                  <c:v>1538.1483856956754</c:v>
                </c:pt>
                <c:pt idx="100">
                  <c:v>1493.2852117300897</c:v>
                </c:pt>
                <c:pt idx="101">
                  <c:v>1494.9741173045563</c:v>
                </c:pt>
                <c:pt idx="102">
                  <c:v>1503.7511103472514</c:v>
                </c:pt>
                <c:pt idx="103">
                  <c:v>1539.4426429513435</c:v>
                </c:pt>
                <c:pt idx="104">
                  <c:v>1578.6753387069584</c:v>
                </c:pt>
                <c:pt idx="105">
                  <c:v>1628.5962102675498</c:v>
                </c:pt>
                <c:pt idx="106">
                  <c:v>1659.1356464024871</c:v>
                </c:pt>
                <c:pt idx="107">
                  <c:v>1681.7828479758809</c:v>
                </c:pt>
                <c:pt idx="108">
                  <c:v>1707.1474968890532</c:v>
                </c:pt>
                <c:pt idx="109">
                  <c:v>1673.5235197903262</c:v>
                </c:pt>
                <c:pt idx="110">
                  <c:v>1691.53230638679</c:v>
                </c:pt>
                <c:pt idx="111">
                  <c:v>1766.1847016645581</c:v>
                </c:pt>
                <c:pt idx="112">
                  <c:v>1827.2099154764719</c:v>
                </c:pt>
                <c:pt idx="113">
                  <c:v>1796.8161057424361</c:v>
                </c:pt>
                <c:pt idx="114">
                  <c:v>1740.9063757961544</c:v>
                </c:pt>
                <c:pt idx="115">
                  <c:v>1766.4820313629757</c:v>
                </c:pt>
                <c:pt idx="116">
                  <c:v>1831.8242017030923</c:v>
                </c:pt>
                <c:pt idx="117">
                  <c:v>1859.2887419592269</c:v>
                </c:pt>
                <c:pt idx="118">
                  <c:v>1781.072183162486</c:v>
                </c:pt>
                <c:pt idx="119">
                  <c:v>1767.6144017465103</c:v>
                </c:pt>
                <c:pt idx="120">
                  <c:v>1662.0860543478418</c:v>
                </c:pt>
                <c:pt idx="121">
                  <c:v>1607.5230933557109</c:v>
                </c:pt>
                <c:pt idx="122">
                  <c:v>1600.3213898974773</c:v>
                </c:pt>
                <c:pt idx="123">
                  <c:v>1677.4168728557884</c:v>
                </c:pt>
                <c:pt idx="124">
                  <c:v>1699.0991633543222</c:v>
                </c:pt>
                <c:pt idx="125">
                  <c:v>1555.7138840580142</c:v>
                </c:pt>
                <c:pt idx="126">
                  <c:v>1544.822331155724</c:v>
                </c:pt>
                <c:pt idx="127">
                  <c:v>1567.8154667326455</c:v>
                </c:pt>
                <c:pt idx="128">
                  <c:v>1430.6394524708728</c:v>
                </c:pt>
                <c:pt idx="129">
                  <c:v>1192.1990668459098</c:v>
                </c:pt>
                <c:pt idx="130">
                  <c:v>1108.258714947423</c:v>
                </c:pt>
                <c:pt idx="131">
                  <c:v>1121.9634422164629</c:v>
                </c:pt>
                <c:pt idx="132">
                  <c:v>1028.925745734105</c:v>
                </c:pt>
                <c:pt idx="133">
                  <c:v>920.58603826277817</c:v>
                </c:pt>
                <c:pt idx="134">
                  <c:v>1000.9964669469172</c:v>
                </c:pt>
                <c:pt idx="135">
                  <c:v>1095.2442882958374</c:v>
                </c:pt>
                <c:pt idx="136">
                  <c:v>1155.6119629781274</c:v>
                </c:pt>
                <c:pt idx="137">
                  <c:v>1158.4143219883492</c:v>
                </c:pt>
                <c:pt idx="138">
                  <c:v>1245.0474954725698</c:v>
                </c:pt>
                <c:pt idx="139">
                  <c:v>1287.7451542823062</c:v>
                </c:pt>
                <c:pt idx="140">
                  <c:v>1333.6738729549388</c:v>
                </c:pt>
                <c:pt idx="141">
                  <c:v>1311.3108294532303</c:v>
                </c:pt>
                <c:pt idx="142">
                  <c:v>1388.9587889084739</c:v>
                </c:pt>
                <c:pt idx="143">
                  <c:v>1416.1907149238134</c:v>
                </c:pt>
                <c:pt idx="144">
                  <c:v>1365.6341225917481</c:v>
                </c:pt>
                <c:pt idx="145">
                  <c:v>1406.203015471581</c:v>
                </c:pt>
                <c:pt idx="146">
                  <c:v>1489.4769518447924</c:v>
                </c:pt>
                <c:pt idx="147">
                  <c:v>1513.2892198739351</c:v>
                </c:pt>
                <c:pt idx="148">
                  <c:v>1392.3516852892697</c:v>
                </c:pt>
                <c:pt idx="149">
                  <c:v>1318.9677897160987</c:v>
                </c:pt>
                <c:pt idx="150">
                  <c:v>1410.8418100765632</c:v>
                </c:pt>
                <c:pt idx="151">
                  <c:v>1347.2847973744242</c:v>
                </c:pt>
                <c:pt idx="152">
                  <c:v>1467.4073626235304</c:v>
                </c:pt>
                <c:pt idx="153">
                  <c:v>1523.0441127774013</c:v>
                </c:pt>
                <c:pt idx="154">
                  <c:v>1522.4120494705987</c:v>
                </c:pt>
                <c:pt idx="155">
                  <c:v>1623.1013375984853</c:v>
                </c:pt>
                <c:pt idx="156">
                  <c:v>1661.2020183972722</c:v>
                </c:pt>
                <c:pt idx="157">
                  <c:v>1718.3540126382122</c:v>
                </c:pt>
                <c:pt idx="158">
                  <c:v>1718.8746739040414</c:v>
                </c:pt>
                <c:pt idx="159">
                  <c:v>1770.5182634814885</c:v>
                </c:pt>
                <c:pt idx="160">
                  <c:v>1750.7539681062447</c:v>
                </c:pt>
                <c:pt idx="161">
                  <c:v>1721.3623104896769</c:v>
                </c:pt>
                <c:pt idx="162">
                  <c:v>1686.7939125704231</c:v>
                </c:pt>
                <c:pt idx="163">
                  <c:v>1594.6123120423622</c:v>
                </c:pt>
                <c:pt idx="164">
                  <c:v>1485.741751049982</c:v>
                </c:pt>
                <c:pt idx="165">
                  <c:v>1647.1794782355707</c:v>
                </c:pt>
                <c:pt idx="166">
                  <c:v>1643.9641838940549</c:v>
                </c:pt>
                <c:pt idx="167">
                  <c:v>1660.4745161929029</c:v>
                </c:pt>
                <c:pt idx="168">
                  <c:v>1733.5121482621641</c:v>
                </c:pt>
                <c:pt idx="169">
                  <c:v>1807.1968156361957</c:v>
                </c:pt>
                <c:pt idx="170">
                  <c:v>1865.4915633181724</c:v>
                </c:pt>
                <c:pt idx="171">
                  <c:v>1853.158798593076</c:v>
                </c:pt>
                <c:pt idx="172">
                  <c:v>1740.8666411923286</c:v>
                </c:pt>
                <c:pt idx="173">
                  <c:v>1812.5920876760938</c:v>
                </c:pt>
                <c:pt idx="174">
                  <c:v>1835.412622059936</c:v>
                </c:pt>
                <c:pt idx="175">
                  <c:v>1876.4891565416374</c:v>
                </c:pt>
                <c:pt idx="176">
                  <c:v>1925.1483968599184</c:v>
                </c:pt>
                <c:pt idx="177">
                  <c:v>1890.478399380868</c:v>
                </c:pt>
                <c:pt idx="178">
                  <c:v>1902.2522988522119</c:v>
                </c:pt>
                <c:pt idx="179">
                  <c:v>1918.5526988010765</c:v>
                </c:pt>
                <c:pt idx="180">
                  <c:v>2017.6977466170197</c:v>
                </c:pt>
                <c:pt idx="181">
                  <c:v>2044.6178699523839</c:v>
                </c:pt>
                <c:pt idx="182">
                  <c:v>2120.8350902905991</c:v>
                </c:pt>
                <c:pt idx="183">
                  <c:v>2160.3780605490674</c:v>
                </c:pt>
                <c:pt idx="184">
                  <c:v>2210.4664258828975</c:v>
                </c:pt>
                <c:pt idx="185">
                  <c:v>2180.6649175291441</c:v>
                </c:pt>
                <c:pt idx="186">
                  <c:v>2291.2202675180365</c:v>
                </c:pt>
                <c:pt idx="187">
                  <c:v>2223.6957150140124</c:v>
                </c:pt>
                <c:pt idx="188">
                  <c:v>2292.5057552194062</c:v>
                </c:pt>
                <c:pt idx="189">
                  <c:v>2396.8010120473577</c:v>
                </c:pt>
                <c:pt idx="190">
                  <c:v>2469.7140956348503</c:v>
                </c:pt>
                <c:pt idx="191">
                  <c:v>2532.4374245216882</c:v>
                </c:pt>
                <c:pt idx="192">
                  <c:v>2440.9531225608421</c:v>
                </c:pt>
                <c:pt idx="193">
                  <c:v>2551.4135742160879</c:v>
                </c:pt>
                <c:pt idx="194">
                  <c:v>2573.2893942014171</c:v>
                </c:pt>
                <c:pt idx="195">
                  <c:v>2592.3394555866903</c:v>
                </c:pt>
                <c:pt idx="196">
                  <c:v>2651.5355270550122</c:v>
                </c:pt>
                <c:pt idx="197">
                  <c:v>2704.3885847157999</c:v>
                </c:pt>
                <c:pt idx="198">
                  <c:v>2667.5007244202766</c:v>
                </c:pt>
                <c:pt idx="199">
                  <c:v>2774.0647108601424</c:v>
                </c:pt>
                <c:pt idx="200">
                  <c:v>2733.8158059702728</c:v>
                </c:pt>
                <c:pt idx="201">
                  <c:v>2801.029401375858</c:v>
                </c:pt>
                <c:pt idx="202">
                  <c:v>2876.8644713887079</c:v>
                </c:pt>
                <c:pt idx="203">
                  <c:v>2868.849526971419</c:v>
                </c:pt>
                <c:pt idx="204">
                  <c:v>2783.0881392121355</c:v>
                </c:pt>
                <c:pt idx="205">
                  <c:v>2942.8540969317473</c:v>
                </c:pt>
                <c:pt idx="206">
                  <c:v>2893.8673476342215</c:v>
                </c:pt>
                <c:pt idx="207">
                  <c:v>2922.3487900696373</c:v>
                </c:pt>
                <c:pt idx="208">
                  <c:v>2960.5526558022175</c:v>
                </c:pt>
                <c:pt idx="209">
                  <c:v>2902.1202280346492</c:v>
                </c:pt>
                <c:pt idx="210">
                  <c:v>2961.4192506540812</c:v>
                </c:pt>
                <c:pt idx="211">
                  <c:v>2782.129006380982</c:v>
                </c:pt>
                <c:pt idx="212">
                  <c:v>2712.7287983168085</c:v>
                </c:pt>
                <c:pt idx="213">
                  <c:v>2941.3006141341848</c:v>
                </c:pt>
                <c:pt idx="214">
                  <c:v>2948.9421131297058</c:v>
                </c:pt>
                <c:pt idx="215">
                  <c:v>2899.5060475451996</c:v>
                </c:pt>
                <c:pt idx="216">
                  <c:v>2756.624188534267</c:v>
                </c:pt>
                <c:pt idx="217">
                  <c:v>2754.4602385462676</c:v>
                </c:pt>
                <c:pt idx="218">
                  <c:v>2939.4139801839342</c:v>
                </c:pt>
                <c:pt idx="219">
                  <c:v>2951.0158471637201</c:v>
                </c:pt>
                <c:pt idx="220">
                  <c:v>3001.0444188206866</c:v>
                </c:pt>
                <c:pt idx="221">
                  <c:v>3008.0698638051458</c:v>
                </c:pt>
                <c:pt idx="222">
                  <c:v>3117.3229612585483</c:v>
                </c:pt>
                <c:pt idx="223">
                  <c:v>3121.6934480502323</c:v>
                </c:pt>
                <c:pt idx="224">
                  <c:v>3119.2741356279935</c:v>
                </c:pt>
                <c:pt idx="225">
                  <c:v>3064.2938097134142</c:v>
                </c:pt>
                <c:pt idx="226">
                  <c:v>3183.0750306593354</c:v>
                </c:pt>
                <c:pt idx="227">
                  <c:v>3231.95433083014</c:v>
                </c:pt>
                <c:pt idx="228">
                  <c:v>3287.4986979597866</c:v>
                </c:pt>
                <c:pt idx="229">
                  <c:v>3418.5844210422351</c:v>
                </c:pt>
                <c:pt idx="230">
                  <c:v>3420.9774301369644</c:v>
                </c:pt>
                <c:pt idx="231">
                  <c:v>3455.1803624834733</c:v>
                </c:pt>
                <c:pt idx="232">
                  <c:v>3502.7651064355955</c:v>
                </c:pt>
                <c:pt idx="233">
                  <c:v>3523.9848574503822</c:v>
                </c:pt>
                <c:pt idx="234">
                  <c:v>3594.1650158865064</c:v>
                </c:pt>
                <c:pt idx="235">
                  <c:v>3603.1252692711118</c:v>
                </c:pt>
                <c:pt idx="236">
                  <c:v>3677.9946092412965</c:v>
                </c:pt>
                <c:pt idx="237">
                  <c:v>3764.9755037552441</c:v>
                </c:pt>
                <c:pt idx="238">
                  <c:v>3883.5722321235344</c:v>
                </c:pt>
                <c:pt idx="239">
                  <c:v>3928.0624356147414</c:v>
                </c:pt>
                <c:pt idx="240">
                  <c:v>4154.1813497209041</c:v>
                </c:pt>
                <c:pt idx="241">
                  <c:v>4002.1632374092173</c:v>
                </c:pt>
                <c:pt idx="242">
                  <c:v>3896.6662144711104</c:v>
                </c:pt>
                <c:pt idx="243">
                  <c:v>3908.9329197142652</c:v>
                </c:pt>
                <c:pt idx="244">
                  <c:v>4001.6918978990848</c:v>
                </c:pt>
                <c:pt idx="245">
                  <c:v>4022.1365418054515</c:v>
                </c:pt>
                <c:pt idx="246">
                  <c:v>4175.2351471327347</c:v>
                </c:pt>
                <c:pt idx="247">
                  <c:v>4310.6380229542492</c:v>
                </c:pt>
                <c:pt idx="248">
                  <c:v>4334.6396554660587</c:v>
                </c:pt>
                <c:pt idx="249">
                  <c:v>4038.0939527166588</c:v>
                </c:pt>
                <c:pt idx="250">
                  <c:v>4084.4270427301299</c:v>
                </c:pt>
                <c:pt idx="251">
                  <c:v>3715.0273765585744</c:v>
                </c:pt>
                <c:pt idx="252">
                  <c:v>4009.7479283957191</c:v>
                </c:pt>
                <c:pt idx="253">
                  <c:v>4137.7190335304686</c:v>
                </c:pt>
                <c:pt idx="254">
                  <c:v>4214.6019908924982</c:v>
                </c:pt>
                <c:pt idx="255">
                  <c:v>4386.8317012503194</c:v>
                </c:pt>
                <c:pt idx="256">
                  <c:v>4104.7145545429112</c:v>
                </c:pt>
                <c:pt idx="257">
                  <c:v>4393.3703961620322</c:v>
                </c:pt>
                <c:pt idx="258">
                  <c:v>4454.3767374831386</c:v>
                </c:pt>
                <c:pt idx="259">
                  <c:v>4380.073279125183</c:v>
                </c:pt>
                <c:pt idx="260">
                  <c:v>4461.4024797719794</c:v>
                </c:pt>
                <c:pt idx="261">
                  <c:v>4558.1346083383951</c:v>
                </c:pt>
                <c:pt idx="262">
                  <c:v>4723.2667089292781</c:v>
                </c:pt>
                <c:pt idx="263">
                  <c:v>4862.7447748439599</c:v>
                </c:pt>
                <c:pt idx="264">
                  <c:v>4857.6486183199231</c:v>
                </c:pt>
                <c:pt idx="265">
                  <c:v>4455.8190669638807</c:v>
                </c:pt>
                <c:pt idx="266">
                  <c:v>3902.4330737613682</c:v>
                </c:pt>
                <c:pt idx="267">
                  <c:v>4401.7610928483564</c:v>
                </c:pt>
                <c:pt idx="268">
                  <c:v>4610.0260171953842</c:v>
                </c:pt>
                <c:pt idx="269">
                  <c:v>4700.7513292137892</c:v>
                </c:pt>
                <c:pt idx="270">
                  <c:v>4963.3305977123428</c:v>
                </c:pt>
                <c:pt idx="271">
                  <c:v>5319.1368782705476</c:v>
                </c:pt>
                <c:pt idx="272">
                  <c:v>5111.2969238890037</c:v>
                </c:pt>
                <c:pt idx="273">
                  <c:v>4957.3446605414665</c:v>
                </c:pt>
                <c:pt idx="274">
                  <c:v>5499.4600432396392</c:v>
                </c:pt>
                <c:pt idx="275">
                  <c:v>5709.6769033924738</c:v>
                </c:pt>
                <c:pt idx="276">
                  <c:v>5648.8402959868272</c:v>
                </c:pt>
                <c:pt idx="277">
                  <c:v>5801.8617307648137</c:v>
                </c:pt>
                <c:pt idx="278">
                  <c:v>6054.190499297506</c:v>
                </c:pt>
                <c:pt idx="279">
                  <c:v>6376.7214439570816</c:v>
                </c:pt>
                <c:pt idx="280">
                  <c:v>6419.2350458239434</c:v>
                </c:pt>
                <c:pt idx="281">
                  <c:v>6565.6770549243247</c:v>
                </c:pt>
                <c:pt idx="282">
                  <c:v>6717.613387652329</c:v>
                </c:pt>
                <c:pt idx="283">
                  <c:v>6917.7243728571048</c:v>
                </c:pt>
                <c:pt idx="284">
                  <c:v>6592.6397514034315</c:v>
                </c:pt>
                <c:pt idx="285">
                  <c:v>7051.4677001818554</c:v>
                </c:pt>
                <c:pt idx="286">
                  <c:v>7000.2387873400348</c:v>
                </c:pt>
                <c:pt idx="287">
                  <c:v>7314.3255012504069</c:v>
                </c:pt>
                <c:pt idx="288">
                  <c:v>6935.2093818695957</c:v>
                </c:pt>
                <c:pt idx="289">
                  <c:v>6726.6468301286313</c:v>
                </c:pt>
                <c:pt idx="290">
                  <c:v>6971.4362349238427</c:v>
                </c:pt>
                <c:pt idx="291">
                  <c:v>6361.5680216564697</c:v>
                </c:pt>
                <c:pt idx="292">
                  <c:v>6369.3863887550851</c:v>
                </c:pt>
                <c:pt idx="293">
                  <c:v>5845.6253766213658</c:v>
                </c:pt>
                <c:pt idx="294">
                  <c:v>6382.0374980562729</c:v>
                </c:pt>
                <c:pt idx="295">
                  <c:v>6119.2251938863155</c:v>
                </c:pt>
                <c:pt idx="296">
                  <c:v>5554.3717546890575</c:v>
                </c:pt>
                <c:pt idx="297">
                  <c:v>6005.2589906194517</c:v>
                </c:pt>
                <c:pt idx="298">
                  <c:v>6340.9289471591164</c:v>
                </c:pt>
                <c:pt idx="299">
                  <c:v>5975.8880086001136</c:v>
                </c:pt>
                <c:pt idx="300">
                  <c:v>6350.9108364678223</c:v>
                </c:pt>
                <c:pt idx="301">
                  <c:v>6192.5191202063152</c:v>
                </c:pt>
                <c:pt idx="302">
                  <c:v>6417.208483963881</c:v>
                </c:pt>
                <c:pt idx="303">
                  <c:v>6513.6013726015026</c:v>
                </c:pt>
                <c:pt idx="304">
                  <c:v>6537.1871231716932</c:v>
                </c:pt>
                <c:pt idx="305">
                  <c:v>6966.4384412405161</c:v>
                </c:pt>
                <c:pt idx="306">
                  <c:v>7187.6437610652256</c:v>
                </c:pt>
                <c:pt idx="307">
                  <c:v>7070.3557901721624</c:v>
                </c:pt>
                <c:pt idx="308">
                  <c:v>6732.9725525767271</c:v>
                </c:pt>
                <c:pt idx="309">
                  <c:v>6591.5868619451685</c:v>
                </c:pt>
                <c:pt idx="310">
                  <c:v>7190.8675730857758</c:v>
                </c:pt>
                <c:pt idx="311">
                  <c:v>7514.0323526878228</c:v>
                </c:pt>
                <c:pt idx="312">
                  <c:v>7637.3977358542516</c:v>
                </c:pt>
                <c:pt idx="313">
                  <c:v>8043.0504791964149</c:v>
                </c:pt>
                <c:pt idx="314">
                  <c:v>8300.548740287888</c:v>
                </c:pt>
                <c:pt idx="315">
                  <c:v>7958.4997277981047</c:v>
                </c:pt>
                <c:pt idx="316">
                  <c:v>8348.4582559604842</c:v>
                </c:pt>
                <c:pt idx="317">
                  <c:v>8642.3740773198297</c:v>
                </c:pt>
                <c:pt idx="318">
                  <c:v>8746.2294866069824</c:v>
                </c:pt>
                <c:pt idx="319">
                  <c:v>8953.9436906844112</c:v>
                </c:pt>
                <c:pt idx="320">
                  <c:v>9141.5646267790107</c:v>
                </c:pt>
                <c:pt idx="321">
                  <c:v>9054.2535430286443</c:v>
                </c:pt>
                <c:pt idx="322">
                  <c:v>9583.7553444785026</c:v>
                </c:pt>
                <c:pt idx="323">
                  <c:v>9350.6304957240627</c:v>
                </c:pt>
              </c:numCache>
            </c:numRef>
          </c:val>
          <c:smooth val="0"/>
          <c:extLst>
            <c:ext xmlns:c16="http://schemas.microsoft.com/office/drawing/2014/chart" uri="{C3380CC4-5D6E-409C-BE32-E72D297353CC}">
              <c16:uniqueId val="{00000002-88D4-4F73-BAE7-58D6ACCCDCE3}"/>
            </c:ext>
          </c:extLst>
        </c:ser>
        <c:dLbls>
          <c:showLegendKey val="0"/>
          <c:showVal val="0"/>
          <c:showCatName val="0"/>
          <c:showSerName val="0"/>
          <c:showPercent val="0"/>
          <c:showBubbleSize val="0"/>
        </c:dLbls>
        <c:smooth val="0"/>
        <c:axId val="101784592"/>
        <c:axId val="101781712"/>
      </c:lineChart>
      <c:dateAx>
        <c:axId val="10178459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81712"/>
        <c:crosses val="autoZero"/>
        <c:auto val="1"/>
        <c:lblOffset val="100"/>
        <c:baseTimeUnit val="months"/>
      </c:dateAx>
      <c:valAx>
        <c:axId val="10178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crossAx val="10178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sto MT" panose="02040603050505030304" pitchFamily="18"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baseline="0">
                <a:solidFill>
                  <a:schemeClr val="tx2"/>
                </a:solidFill>
                <a:latin typeface="Calisto MT" panose="02040603050505030304" pitchFamily="18" charset="0"/>
                <a:ea typeface="+mn-ea"/>
                <a:cs typeface="+mn-cs"/>
              </a:defRPr>
            </a:pPr>
            <a:r>
              <a:rPr lang="en-US" sz="1400" b="0">
                <a:latin typeface="Calisto MT" panose="02040603050505030304" pitchFamily="18" charset="0"/>
              </a:rPr>
              <a:t>Treynor Ratio 1998-2013</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Calisto MT" panose="02040603050505030304" pitchFamily="18" charset="0"/>
              <a:ea typeface="+mn-ea"/>
              <a:cs typeface="+mn-cs"/>
            </a:defRPr>
          </a:pPr>
          <a:endParaRPr lang="en-US"/>
        </a:p>
      </c:txPr>
    </c:title>
    <c:autoTitleDeleted val="0"/>
    <c:plotArea>
      <c:layout/>
      <c:barChart>
        <c:barDir val="col"/>
        <c:grouping val="clustered"/>
        <c:varyColors val="0"/>
        <c:ser>
          <c:idx val="0"/>
          <c:order val="0"/>
          <c:tx>
            <c:strRef>
              <c:f>'Sharpe+Treynor Ratio'!$F$14</c:f>
              <c:strCache>
                <c:ptCount val="1"/>
                <c:pt idx="0">
                  <c:v>Treynor Ratio (Annually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'Sharpe+Treynor Ratio'!$A$15:$A$17</c:f>
              <c:strCache>
                <c:ptCount val="3"/>
                <c:pt idx="0">
                  <c:v>FGINX</c:v>
                </c:pt>
                <c:pt idx="1">
                  <c:v>PGWCX</c:v>
                </c:pt>
                <c:pt idx="2">
                  <c:v>SPFIX</c:v>
                </c:pt>
              </c:strCache>
            </c:strRef>
          </c:cat>
          <c:val>
            <c:numRef>
              <c:f>'Sharpe+Treynor Ratio'!$F$15:$F$17</c:f>
              <c:numCache>
                <c:formatCode>General</c:formatCode>
                <c:ptCount val="3"/>
                <c:pt idx="0">
                  <c:v>5.3517176205405845E-2</c:v>
                </c:pt>
                <c:pt idx="1">
                  <c:v>4.3764700845063939E-2</c:v>
                </c:pt>
                <c:pt idx="2">
                  <c:v>5.0693217346782241E-2</c:v>
                </c:pt>
              </c:numCache>
            </c:numRef>
          </c:val>
          <c:extLst>
            <c:ext xmlns:c16="http://schemas.microsoft.com/office/drawing/2014/chart" uri="{C3380CC4-5D6E-409C-BE32-E72D297353CC}">
              <c16:uniqueId val="{00000000-1A13-4747-A461-9F710CDA71FD}"/>
            </c:ext>
          </c:extLst>
        </c:ser>
        <c:dLbls>
          <c:showLegendKey val="0"/>
          <c:showVal val="0"/>
          <c:showCatName val="0"/>
          <c:showSerName val="0"/>
          <c:showPercent val="0"/>
          <c:showBubbleSize val="0"/>
        </c:dLbls>
        <c:gapWidth val="100"/>
        <c:overlap val="-24"/>
        <c:axId val="1029258416"/>
        <c:axId val="1029249296"/>
      </c:barChart>
      <c:catAx>
        <c:axId val="10292584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29249296"/>
        <c:crosses val="autoZero"/>
        <c:auto val="1"/>
        <c:lblAlgn val="ctr"/>
        <c:lblOffset val="100"/>
        <c:noMultiLvlLbl val="0"/>
      </c:catAx>
      <c:valAx>
        <c:axId val="10292492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29258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baseline="0">
                <a:solidFill>
                  <a:schemeClr val="tx2"/>
                </a:solidFill>
                <a:latin typeface="Calisto MT" panose="02040603050505030304" pitchFamily="18" charset="0"/>
                <a:ea typeface="+mn-ea"/>
                <a:cs typeface="+mn-cs"/>
              </a:defRPr>
            </a:pPr>
            <a:r>
              <a:rPr lang="en-US" sz="1400" b="0">
                <a:latin typeface="Calisto MT" panose="02040603050505030304" pitchFamily="18" charset="0"/>
              </a:rPr>
              <a:t>Sharpe Ratio 1998-2013</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Calisto MT" panose="02040603050505030304" pitchFamily="18" charset="0"/>
              <a:ea typeface="+mn-ea"/>
              <a:cs typeface="+mn-cs"/>
            </a:defRPr>
          </a:pPr>
          <a:endParaRPr lang="en-US"/>
        </a:p>
      </c:txPr>
    </c:title>
    <c:autoTitleDeleted val="0"/>
    <c:plotArea>
      <c:layout/>
      <c:barChart>
        <c:barDir val="col"/>
        <c:grouping val="clustered"/>
        <c:varyColors val="0"/>
        <c:ser>
          <c:idx val="0"/>
          <c:order val="0"/>
          <c:tx>
            <c:strRef>
              <c:f>'Sharpe+Treynor Ratio'!$F$2</c:f>
              <c:strCache>
                <c:ptCount val="1"/>
                <c:pt idx="0">
                  <c:v>Sharpe Ratio (Annually)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'Sharpe+Treynor Ratio'!$A$3:$A$5</c:f>
              <c:strCache>
                <c:ptCount val="3"/>
                <c:pt idx="0">
                  <c:v>FGINX</c:v>
                </c:pt>
                <c:pt idx="1">
                  <c:v>PGWCX</c:v>
                </c:pt>
                <c:pt idx="2">
                  <c:v>SPFIX</c:v>
                </c:pt>
              </c:strCache>
            </c:strRef>
          </c:cat>
          <c:val>
            <c:numRef>
              <c:f>'Sharpe+Treynor Ratio'!$F$3:$F$5</c:f>
              <c:numCache>
                <c:formatCode>General</c:formatCode>
                <c:ptCount val="3"/>
                <c:pt idx="0">
                  <c:v>0.31421600074630163</c:v>
                </c:pt>
                <c:pt idx="1">
                  <c:v>0.24533049152877265</c:v>
                </c:pt>
                <c:pt idx="2">
                  <c:v>0.30221087646259215</c:v>
                </c:pt>
              </c:numCache>
            </c:numRef>
          </c:val>
          <c:extLst>
            <c:ext xmlns:c16="http://schemas.microsoft.com/office/drawing/2014/chart" uri="{C3380CC4-5D6E-409C-BE32-E72D297353CC}">
              <c16:uniqueId val="{00000000-DF70-4E38-AC10-C0D6156223DB}"/>
            </c:ext>
          </c:extLst>
        </c:ser>
        <c:dLbls>
          <c:showLegendKey val="0"/>
          <c:showVal val="0"/>
          <c:showCatName val="0"/>
          <c:showSerName val="0"/>
          <c:showPercent val="0"/>
          <c:showBubbleSize val="0"/>
        </c:dLbls>
        <c:gapWidth val="100"/>
        <c:overlap val="-24"/>
        <c:axId val="1865387920"/>
        <c:axId val="1865394640"/>
      </c:barChart>
      <c:catAx>
        <c:axId val="18653879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Calisto MT" panose="02040603050505030304" pitchFamily="18" charset="0"/>
                <a:ea typeface="+mn-ea"/>
                <a:cs typeface="+mn-cs"/>
              </a:defRPr>
            </a:pPr>
            <a:endParaRPr lang="en-US"/>
          </a:p>
        </c:txPr>
        <c:crossAx val="1865394640"/>
        <c:crosses val="autoZero"/>
        <c:auto val="1"/>
        <c:lblAlgn val="ctr"/>
        <c:lblOffset val="100"/>
        <c:noMultiLvlLbl val="0"/>
      </c:catAx>
      <c:valAx>
        <c:axId val="18653946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Calisto MT" panose="02040603050505030304" pitchFamily="18" charset="0"/>
                <a:ea typeface="+mn-ea"/>
                <a:cs typeface="+mn-cs"/>
              </a:defRPr>
            </a:pPr>
            <a:endParaRPr lang="en-US"/>
          </a:p>
        </c:txPr>
        <c:crossAx val="1865387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15</xdr:col>
      <xdr:colOff>103753</xdr:colOff>
      <xdr:row>0</xdr:row>
      <xdr:rowOff>51027</xdr:rowOff>
    </xdr:from>
    <xdr:to>
      <xdr:col>19</xdr:col>
      <xdr:colOff>416717</xdr:colOff>
      <xdr:row>13</xdr:row>
      <xdr:rowOff>61912</xdr:rowOff>
    </xdr:to>
    <xdr:graphicFrame macro="">
      <xdr:nvGraphicFramePr>
        <xdr:cNvPr id="8" name="Chart 7">
          <a:extLst>
            <a:ext uri="{FF2B5EF4-FFF2-40B4-BE49-F238E27FC236}">
              <a16:creationId xmlns:a16="http://schemas.microsoft.com/office/drawing/2014/main" id="{3031D8A1-0C00-3713-C328-E65542355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614362</xdr:colOff>
      <xdr:row>11</xdr:row>
      <xdr:rowOff>52387</xdr:rowOff>
    </xdr:from>
    <xdr:to>
      <xdr:col>11</xdr:col>
      <xdr:colOff>1062037</xdr:colOff>
      <xdr:row>25</xdr:row>
      <xdr:rowOff>128587</xdr:rowOff>
    </xdr:to>
    <xdr:graphicFrame macro="">
      <xdr:nvGraphicFramePr>
        <xdr:cNvPr id="6" name="Chart 5">
          <a:extLst>
            <a:ext uri="{FF2B5EF4-FFF2-40B4-BE49-F238E27FC236}">
              <a16:creationId xmlns:a16="http://schemas.microsoft.com/office/drawing/2014/main" id="{5DB0CBF3-8608-4F90-8C4E-2346C08AE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xdr:colOff>
      <xdr:row>0</xdr:row>
      <xdr:rowOff>0</xdr:rowOff>
    </xdr:from>
    <xdr:to>
      <xdr:col>14</xdr:col>
      <xdr:colOff>161926</xdr:colOff>
      <xdr:row>11</xdr:row>
      <xdr:rowOff>0</xdr:rowOff>
    </xdr:to>
    <xdr:graphicFrame macro="">
      <xdr:nvGraphicFramePr>
        <xdr:cNvPr id="9" name="Chart 8">
          <a:extLst>
            <a:ext uri="{FF2B5EF4-FFF2-40B4-BE49-F238E27FC236}">
              <a16:creationId xmlns:a16="http://schemas.microsoft.com/office/drawing/2014/main" id="{518955AA-8857-F351-F93A-63D4B37E8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xdr:colOff>
      <xdr:row>11</xdr:row>
      <xdr:rowOff>9525</xdr:rowOff>
    </xdr:from>
    <xdr:to>
      <xdr:col>14</xdr:col>
      <xdr:colOff>180976</xdr:colOff>
      <xdr:row>21</xdr:row>
      <xdr:rowOff>95250</xdr:rowOff>
    </xdr:to>
    <xdr:graphicFrame macro="">
      <xdr:nvGraphicFramePr>
        <xdr:cNvPr id="10" name="Chart 9">
          <a:extLst>
            <a:ext uri="{FF2B5EF4-FFF2-40B4-BE49-F238E27FC236}">
              <a16:creationId xmlns:a16="http://schemas.microsoft.com/office/drawing/2014/main" id="{84C86A93-9003-98E1-1BC3-4BA57A9B7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21</xdr:row>
      <xdr:rowOff>95249</xdr:rowOff>
    </xdr:from>
    <xdr:to>
      <xdr:col>14</xdr:col>
      <xdr:colOff>171450</xdr:colOff>
      <xdr:row>32</xdr:row>
      <xdr:rowOff>9524</xdr:rowOff>
    </xdr:to>
    <xdr:graphicFrame macro="">
      <xdr:nvGraphicFramePr>
        <xdr:cNvPr id="11" name="Chart 10">
          <a:extLst>
            <a:ext uri="{FF2B5EF4-FFF2-40B4-BE49-F238E27FC236}">
              <a16:creationId xmlns:a16="http://schemas.microsoft.com/office/drawing/2014/main" id="{F01B3399-4F18-7839-E9C7-38CCD9558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89647</xdr:colOff>
      <xdr:row>13</xdr:row>
      <xdr:rowOff>113179</xdr:rowOff>
    </xdr:from>
    <xdr:to>
      <xdr:col>19</xdr:col>
      <xdr:colOff>291353</xdr:colOff>
      <xdr:row>27</xdr:row>
      <xdr:rowOff>189379</xdr:rowOff>
    </xdr:to>
    <xdr:graphicFrame macro="">
      <xdr:nvGraphicFramePr>
        <xdr:cNvPr id="5" name="Chart 4">
          <a:extLst>
            <a:ext uri="{FF2B5EF4-FFF2-40B4-BE49-F238E27FC236}">
              <a16:creationId xmlns:a16="http://schemas.microsoft.com/office/drawing/2014/main" id="{26639673-91E8-1555-D9D2-C22CCA7D1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38100</xdr:colOff>
      <xdr:row>0</xdr:row>
      <xdr:rowOff>52387</xdr:rowOff>
    </xdr:from>
    <xdr:to>
      <xdr:col>10</xdr:col>
      <xdr:colOff>638175</xdr:colOff>
      <xdr:row>12</xdr:row>
      <xdr:rowOff>76200</xdr:rowOff>
    </xdr:to>
    <xdr:graphicFrame macro="">
      <xdr:nvGraphicFramePr>
        <xdr:cNvPr id="2" name="Chart 1">
          <a:extLst>
            <a:ext uri="{FF2B5EF4-FFF2-40B4-BE49-F238E27FC236}">
              <a16:creationId xmlns:a16="http://schemas.microsoft.com/office/drawing/2014/main" id="{6C31A00B-B93F-28FB-57A0-9BAA72B2B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90487</xdr:colOff>
      <xdr:row>13</xdr:row>
      <xdr:rowOff>23812</xdr:rowOff>
    </xdr:from>
    <xdr:to>
      <xdr:col>10</xdr:col>
      <xdr:colOff>695325</xdr:colOff>
      <xdr:row>25</xdr:row>
      <xdr:rowOff>47625</xdr:rowOff>
    </xdr:to>
    <xdr:graphicFrame macro="">
      <xdr:nvGraphicFramePr>
        <xdr:cNvPr id="3" name="Chart 2">
          <a:extLst>
            <a:ext uri="{FF2B5EF4-FFF2-40B4-BE49-F238E27FC236}">
              <a16:creationId xmlns:a16="http://schemas.microsoft.com/office/drawing/2014/main" id="{408B37CE-C9B9-FFEC-EA7E-AEA5B3AB1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57149</xdr:colOff>
      <xdr:row>35</xdr:row>
      <xdr:rowOff>15875</xdr:rowOff>
    </xdr:to>
    <xdr:sp macro="" textlink="">
      <xdr:nvSpPr>
        <xdr:cNvPr id="2" name="Rectangle 1">
          <a:extLst>
            <a:ext uri="{FF2B5EF4-FFF2-40B4-BE49-F238E27FC236}">
              <a16:creationId xmlns:a16="http://schemas.microsoft.com/office/drawing/2014/main" id="{55E95B21-CB7E-E345-79FB-8B5C0943D38D}"/>
            </a:ext>
          </a:extLst>
        </xdr:cNvPr>
        <xdr:cNvSpPr/>
      </xdr:nvSpPr>
      <xdr:spPr>
        <a:xfrm>
          <a:off x="0" y="0"/>
          <a:ext cx="15138399" cy="6683375"/>
        </a:xfrm>
        <a:prstGeom prst="rect">
          <a:avLst/>
        </a:prstGeom>
        <a:solidFill>
          <a:schemeClr val="bg2">
            <a:lumMod val="95000"/>
          </a:schemeClr>
        </a:solidFill>
        <a:scene3d>
          <a:camera prst="orthographicFront"/>
          <a:lightRig rig="threePt" dir="t"/>
        </a:scene3d>
        <a:sp3d>
          <a:bevelT w="114300" prst="hardEdg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a:p>
          <a:pPr algn="l"/>
          <a:endParaRPr lang="en-US" sz="1100"/>
        </a:p>
        <a:p>
          <a:pPr algn="l"/>
          <a:endParaRPr lang="en-US" sz="1100"/>
        </a:p>
        <a:p>
          <a:pPr algn="l"/>
          <a:endParaRPr lang="en-US" sz="1100"/>
        </a:p>
        <a:p>
          <a:pPr algn="l"/>
          <a:r>
            <a:rPr lang="en-US" sz="1100"/>
            <a:t>						</a:t>
          </a:r>
        </a:p>
      </xdr:txBody>
    </xdr:sp>
    <xdr:clientData/>
  </xdr:twoCellAnchor>
  <xdr:twoCellAnchor>
    <xdr:from>
      <xdr:col>0</xdr:col>
      <xdr:colOff>133349</xdr:colOff>
      <xdr:row>0</xdr:row>
      <xdr:rowOff>114299</xdr:rowOff>
    </xdr:from>
    <xdr:to>
      <xdr:col>20</xdr:col>
      <xdr:colOff>85724</xdr:colOff>
      <xdr:row>6</xdr:row>
      <xdr:rowOff>100262</xdr:rowOff>
    </xdr:to>
    <xdr:sp macro="" textlink="">
      <xdr:nvSpPr>
        <xdr:cNvPr id="4" name="TextBox 3">
          <a:extLst>
            <a:ext uri="{FF2B5EF4-FFF2-40B4-BE49-F238E27FC236}">
              <a16:creationId xmlns:a16="http://schemas.microsoft.com/office/drawing/2014/main" id="{6D73A5F2-9FF0-4C8A-4380-8EB9E6D0C6EB}"/>
            </a:ext>
          </a:extLst>
        </xdr:cNvPr>
        <xdr:cNvSpPr txBox="1"/>
      </xdr:nvSpPr>
      <xdr:spPr>
        <a:xfrm>
          <a:off x="133349" y="114299"/>
          <a:ext cx="12184480" cy="11289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latin typeface="Calisto MT" panose="02040603050505030304" pitchFamily="18" charset="0"/>
            </a:rPr>
            <a:t>Mutual Fund Performance Comparison Dashboard</a:t>
          </a:r>
        </a:p>
        <a:p>
          <a:r>
            <a:rPr lang="en-US" sz="1200">
              <a:latin typeface="Calisto MT" panose="02040603050505030304" pitchFamily="18" charset="0"/>
            </a:rPr>
            <a:t>A visual breakdown of the performance, risk, and style characteristics of FGINX, PGWCX, and SPFIX from 1998 to 2024, designed to assess each fund's ability to deliver returns consistent with its stated investment strategy.</a:t>
          </a:r>
        </a:p>
      </xdr:txBody>
    </xdr:sp>
    <xdr:clientData/>
  </xdr:twoCellAnchor>
  <xdr:twoCellAnchor>
    <xdr:from>
      <xdr:col>20</xdr:col>
      <xdr:colOff>581025</xdr:colOff>
      <xdr:row>12</xdr:row>
      <xdr:rowOff>85725</xdr:rowOff>
    </xdr:from>
    <xdr:to>
      <xdr:col>24</xdr:col>
      <xdr:colOff>276225</xdr:colOff>
      <xdr:row>22</xdr:row>
      <xdr:rowOff>180975</xdr:rowOff>
    </xdr:to>
    <xdr:graphicFrame macro="">
      <xdr:nvGraphicFramePr>
        <xdr:cNvPr id="10" name="Chart 9">
          <a:extLst>
            <a:ext uri="{FF2B5EF4-FFF2-40B4-BE49-F238E27FC236}">
              <a16:creationId xmlns:a16="http://schemas.microsoft.com/office/drawing/2014/main" id="{758BA045-F076-42C5-8489-798AC9C92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590551</xdr:colOff>
      <xdr:row>1</xdr:row>
      <xdr:rowOff>38100</xdr:rowOff>
    </xdr:from>
    <xdr:to>
      <xdr:col>24</xdr:col>
      <xdr:colOff>276225</xdr:colOff>
      <xdr:row>11</xdr:row>
      <xdr:rowOff>133350</xdr:rowOff>
    </xdr:to>
    <xdr:graphicFrame macro="">
      <xdr:nvGraphicFramePr>
        <xdr:cNvPr id="11" name="Chart 10">
          <a:extLst>
            <a:ext uri="{FF2B5EF4-FFF2-40B4-BE49-F238E27FC236}">
              <a16:creationId xmlns:a16="http://schemas.microsoft.com/office/drawing/2014/main" id="{363ABE95-C55C-48D1-A702-1E6B6B143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600076</xdr:colOff>
      <xdr:row>23</xdr:row>
      <xdr:rowOff>114300</xdr:rowOff>
    </xdr:from>
    <xdr:to>
      <xdr:col>24</xdr:col>
      <xdr:colOff>285750</xdr:colOff>
      <xdr:row>34</xdr:row>
      <xdr:rowOff>19050</xdr:rowOff>
    </xdr:to>
    <xdr:graphicFrame macro="">
      <xdr:nvGraphicFramePr>
        <xdr:cNvPr id="12" name="Chart 11">
          <a:extLst>
            <a:ext uri="{FF2B5EF4-FFF2-40B4-BE49-F238E27FC236}">
              <a16:creationId xmlns:a16="http://schemas.microsoft.com/office/drawing/2014/main" id="{48208C8F-9546-4683-8AD2-3055C4050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361950</xdr:colOff>
      <xdr:row>6</xdr:row>
      <xdr:rowOff>95251</xdr:rowOff>
    </xdr:from>
    <xdr:to>
      <xdr:col>10</xdr:col>
      <xdr:colOff>238125</xdr:colOff>
      <xdr:row>18</xdr:row>
      <xdr:rowOff>133351</xdr:rowOff>
    </xdr:to>
    <xdr:graphicFrame macro="">
      <xdr:nvGraphicFramePr>
        <xdr:cNvPr id="17" name="Chart 16">
          <a:extLst>
            <a:ext uri="{FF2B5EF4-FFF2-40B4-BE49-F238E27FC236}">
              <a16:creationId xmlns:a16="http://schemas.microsoft.com/office/drawing/2014/main" id="{36469146-74DB-4148-8231-B052A1565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352425</xdr:colOff>
      <xdr:row>19</xdr:row>
      <xdr:rowOff>76200</xdr:rowOff>
    </xdr:from>
    <xdr:to>
      <xdr:col>10</xdr:col>
      <xdr:colOff>219075</xdr:colOff>
      <xdr:row>33</xdr:row>
      <xdr:rowOff>114299</xdr:rowOff>
    </xdr:to>
    <xdr:graphicFrame macro="">
      <xdr:nvGraphicFramePr>
        <xdr:cNvPr id="20" name="Chart 19">
          <a:extLst>
            <a:ext uri="{FF2B5EF4-FFF2-40B4-BE49-F238E27FC236}">
              <a16:creationId xmlns:a16="http://schemas.microsoft.com/office/drawing/2014/main" id="{105B0524-88C6-470B-AE47-EC86C15EF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508001</xdr:colOff>
      <xdr:row>19</xdr:row>
      <xdr:rowOff>76200</xdr:rowOff>
    </xdr:from>
    <xdr:to>
      <xdr:col>20</xdr:col>
      <xdr:colOff>142875</xdr:colOff>
      <xdr:row>33</xdr:row>
      <xdr:rowOff>142875</xdr:rowOff>
    </xdr:to>
    <xdr:graphicFrame macro="">
      <xdr:nvGraphicFramePr>
        <xdr:cNvPr id="21" name="Chart 20">
          <a:extLst>
            <a:ext uri="{FF2B5EF4-FFF2-40B4-BE49-F238E27FC236}">
              <a16:creationId xmlns:a16="http://schemas.microsoft.com/office/drawing/2014/main" id="{11FE5339-E3D1-4C58-A5CB-EC2CA7DFF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381000</xdr:colOff>
      <xdr:row>6</xdr:row>
      <xdr:rowOff>95250</xdr:rowOff>
    </xdr:from>
    <xdr:to>
      <xdr:col>20</xdr:col>
      <xdr:colOff>122238</xdr:colOff>
      <xdr:row>18</xdr:row>
      <xdr:rowOff>119063</xdr:rowOff>
    </xdr:to>
    <xdr:graphicFrame macro="">
      <xdr:nvGraphicFramePr>
        <xdr:cNvPr id="24" name="Chart 23">
          <a:extLst>
            <a:ext uri="{FF2B5EF4-FFF2-40B4-BE49-F238E27FC236}">
              <a16:creationId xmlns:a16="http://schemas.microsoft.com/office/drawing/2014/main" id="{620AEA02-A132-4E25-BFDE-567EB95A0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508000</xdr:colOff>
      <xdr:row>6</xdr:row>
      <xdr:rowOff>95250</xdr:rowOff>
    </xdr:from>
    <xdr:to>
      <xdr:col>15</xdr:col>
      <xdr:colOff>244475</xdr:colOff>
      <xdr:row>18</xdr:row>
      <xdr:rowOff>119063</xdr:rowOff>
    </xdr:to>
    <xdr:graphicFrame macro="">
      <xdr:nvGraphicFramePr>
        <xdr:cNvPr id="25" name="Chart 24">
          <a:extLst>
            <a:ext uri="{FF2B5EF4-FFF2-40B4-BE49-F238E27FC236}">
              <a16:creationId xmlns:a16="http://schemas.microsoft.com/office/drawing/2014/main" id="{06091F1F-95DF-49EA-BC93-2F0CCAC2C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118283-D86A-44CC-8ACA-0B7C8AF784AF}">
  <we:reference id="wa200005502" version="1.0.0.12" store="en-US" storeType="OMEX"/>
  <we:alternateReferences>
    <we:reference id="WA200005502" version="1.0.0.12" store="WA200005502" storeType="OMEX"/>
  </we:alternateReferences>
  <we:properties>
    <we:property name="docId" value="&quot;CkP0x9W9u6zH10ZAOCrqC&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workbookViewId="0">
      <selection activeCell="P17" sqref="P17"/>
    </sheetView>
  </sheetViews>
  <sheetFormatPr defaultColWidth="12.5703125" defaultRowHeight="15" customHeight="1" x14ac:dyDescent="0.25"/>
  <cols>
    <col min="1" max="1" width="9.85546875" customWidth="1"/>
    <col min="2" max="26" width="8.5703125" customWidth="1"/>
  </cols>
  <sheetData>
    <row r="1" spans="1:18" ht="14.25" customHeight="1" x14ac:dyDescent="0.25">
      <c r="A1" s="1" t="s">
        <v>0</v>
      </c>
      <c r="B1" s="1" t="s">
        <v>1</v>
      </c>
      <c r="C1" s="1" t="s">
        <v>2</v>
      </c>
      <c r="D1" s="1" t="s">
        <v>3</v>
      </c>
      <c r="E1" s="1" t="s">
        <v>4</v>
      </c>
      <c r="H1" s="2" t="s">
        <v>5</v>
      </c>
      <c r="I1" s="2" t="s">
        <v>4</v>
      </c>
      <c r="J1" s="2" t="s">
        <v>6</v>
      </c>
      <c r="K1" s="2" t="s">
        <v>7</v>
      </c>
      <c r="L1" s="2" t="s">
        <v>8</v>
      </c>
      <c r="M1" s="2" t="s">
        <v>9</v>
      </c>
      <c r="N1" s="2" t="s">
        <v>10</v>
      </c>
      <c r="O1" s="2" t="s">
        <v>11</v>
      </c>
      <c r="P1" s="2" t="s">
        <v>12</v>
      </c>
      <c r="Q1" s="2" t="s">
        <v>13</v>
      </c>
      <c r="R1" s="2" t="s">
        <v>14</v>
      </c>
    </row>
    <row r="2" spans="1:18" ht="14.25" customHeight="1" x14ac:dyDescent="0.25">
      <c r="A2" s="3">
        <v>35825</v>
      </c>
      <c r="B2" s="1">
        <v>12663</v>
      </c>
      <c r="C2" s="1">
        <v>217.19200000000001</v>
      </c>
      <c r="D2" s="1">
        <v>1.1735000000000001E-2</v>
      </c>
      <c r="E2" s="1" t="str">
        <f t="shared" ref="E2:E256" si="0">IF(B2=12663,"FGINX",IF(B2=4516,"PGWCX","SPFIX"))</f>
        <v>FGINX</v>
      </c>
      <c r="H2" s="2" t="s">
        <v>15</v>
      </c>
      <c r="I2" s="2" t="s">
        <v>16</v>
      </c>
      <c r="J2" s="2" t="s">
        <v>17</v>
      </c>
      <c r="K2" s="4" t="s">
        <v>18</v>
      </c>
      <c r="L2" s="2" t="s">
        <v>19</v>
      </c>
      <c r="M2" s="2" t="s">
        <v>20</v>
      </c>
      <c r="N2" s="2" t="s">
        <v>21</v>
      </c>
      <c r="O2" s="5">
        <v>7.7000000000000002E-3</v>
      </c>
      <c r="P2" s="6">
        <v>0.35</v>
      </c>
      <c r="Q2" s="2" t="s">
        <v>22</v>
      </c>
      <c r="R2" s="2" t="s">
        <v>23</v>
      </c>
    </row>
    <row r="3" spans="1:18" ht="14.25" customHeight="1" x14ac:dyDescent="0.25">
      <c r="A3" s="3">
        <v>35853</v>
      </c>
      <c r="B3" s="1">
        <v>12663</v>
      </c>
      <c r="C3" s="1">
        <v>233.154</v>
      </c>
      <c r="D3" s="1">
        <v>5.6337999999999999E-2</v>
      </c>
      <c r="E3" s="1" t="str">
        <f t="shared" si="0"/>
        <v>FGINX</v>
      </c>
    </row>
    <row r="4" spans="1:18" ht="14.25" customHeight="1" x14ac:dyDescent="0.25">
      <c r="A4" s="3">
        <v>35885</v>
      </c>
      <c r="B4" s="1">
        <v>12663</v>
      </c>
      <c r="C4" s="1">
        <v>250.494</v>
      </c>
      <c r="D4" s="1">
        <v>5.0195999999999998E-2</v>
      </c>
      <c r="E4" s="1" t="str">
        <f t="shared" si="0"/>
        <v>FGINX</v>
      </c>
    </row>
    <row r="5" spans="1:18" ht="14.25" customHeight="1" x14ac:dyDescent="0.25">
      <c r="A5" s="3">
        <v>35915</v>
      </c>
      <c r="B5" s="1">
        <v>12663</v>
      </c>
      <c r="C5" s="1">
        <v>261.988</v>
      </c>
      <c r="D5" s="1">
        <v>1.8679999999999999E-2</v>
      </c>
      <c r="E5" s="1" t="str">
        <f t="shared" si="0"/>
        <v>FGINX</v>
      </c>
    </row>
    <row r="6" spans="1:18" ht="14.25" customHeight="1" x14ac:dyDescent="0.25">
      <c r="A6" s="3">
        <v>35944</v>
      </c>
      <c r="B6" s="1">
        <v>12663</v>
      </c>
      <c r="C6" s="1">
        <v>260.24099999999999</v>
      </c>
      <c r="D6" s="1">
        <v>-2.2744E-2</v>
      </c>
      <c r="E6" s="1" t="str">
        <f t="shared" si="0"/>
        <v>FGINX</v>
      </c>
    </row>
    <row r="7" spans="1:18" ht="14.25" customHeight="1" x14ac:dyDescent="0.25">
      <c r="A7" s="3">
        <v>35976</v>
      </c>
      <c r="B7" s="1">
        <v>12663</v>
      </c>
      <c r="C7" s="1">
        <v>274.322</v>
      </c>
      <c r="D7" s="1">
        <v>3.6787E-2</v>
      </c>
      <c r="E7" s="1" t="str">
        <f t="shared" si="0"/>
        <v>FGINX</v>
      </c>
    </row>
    <row r="8" spans="1:18" ht="14.25" customHeight="1" x14ac:dyDescent="0.25">
      <c r="A8" s="3">
        <v>36007</v>
      </c>
      <c r="B8" s="1">
        <v>12663</v>
      </c>
      <c r="C8" s="1">
        <v>272.75200000000001</v>
      </c>
      <c r="D8" s="1">
        <v>-2.3196000000000001E-2</v>
      </c>
      <c r="E8" s="1" t="str">
        <f t="shared" si="0"/>
        <v>FGINX</v>
      </c>
    </row>
    <row r="9" spans="1:18" ht="14.25" customHeight="1" x14ac:dyDescent="0.25">
      <c r="A9" s="3">
        <v>36038</v>
      </c>
      <c r="B9" s="1">
        <v>12663</v>
      </c>
      <c r="C9" s="1">
        <v>240.70400000000001</v>
      </c>
      <c r="D9" s="1">
        <v>-0.13278899999999999</v>
      </c>
      <c r="E9" s="1" t="str">
        <f t="shared" si="0"/>
        <v>FGINX</v>
      </c>
    </row>
    <row r="10" spans="1:18" ht="14.25" customHeight="1" x14ac:dyDescent="0.25">
      <c r="A10" s="3">
        <v>36068</v>
      </c>
      <c r="B10" s="1">
        <v>12663</v>
      </c>
      <c r="C10" s="1">
        <v>257.60000000000002</v>
      </c>
      <c r="D10" s="1">
        <v>5.3037000000000001E-2</v>
      </c>
      <c r="E10" s="1" t="str">
        <f t="shared" si="0"/>
        <v>FGINX</v>
      </c>
    </row>
    <row r="11" spans="1:18" ht="14.25" customHeight="1" x14ac:dyDescent="0.25">
      <c r="A11" s="3">
        <v>36098</v>
      </c>
      <c r="B11" s="1">
        <v>12663</v>
      </c>
      <c r="C11" s="1">
        <v>277.39999999999998</v>
      </c>
      <c r="D11" s="1">
        <v>6.7774000000000001E-2</v>
      </c>
      <c r="E11" s="1" t="str">
        <f t="shared" si="0"/>
        <v>FGINX</v>
      </c>
    </row>
    <row r="12" spans="1:18" ht="14.25" customHeight="1" x14ac:dyDescent="0.25">
      <c r="A12" s="3">
        <v>36129</v>
      </c>
      <c r="B12" s="1">
        <v>12663</v>
      </c>
      <c r="C12" s="1">
        <v>295.8</v>
      </c>
      <c r="D12" s="1">
        <v>5.4995000000000002E-2</v>
      </c>
      <c r="E12" s="1" t="str">
        <f t="shared" si="0"/>
        <v>FGINX</v>
      </c>
    </row>
    <row r="13" spans="1:18" ht="14.25" customHeight="1" x14ac:dyDescent="0.25">
      <c r="A13" s="3">
        <v>36160</v>
      </c>
      <c r="B13" s="1">
        <v>12663</v>
      </c>
      <c r="C13" s="1">
        <v>317.8</v>
      </c>
      <c r="D13" s="1">
        <v>6.0144000000000003E-2</v>
      </c>
      <c r="E13" s="1" t="str">
        <f t="shared" si="0"/>
        <v>FGINX</v>
      </c>
    </row>
    <row r="14" spans="1:18" ht="14.25" customHeight="1" x14ac:dyDescent="0.25">
      <c r="A14" s="3">
        <v>36189</v>
      </c>
      <c r="B14" s="1">
        <v>12663</v>
      </c>
      <c r="C14" s="1">
        <v>335.1</v>
      </c>
      <c r="D14" s="1">
        <v>4.0927999999999999E-2</v>
      </c>
      <c r="E14" s="1" t="str">
        <f t="shared" si="0"/>
        <v>FGINX</v>
      </c>
    </row>
    <row r="15" spans="1:18" ht="14.25" customHeight="1" x14ac:dyDescent="0.25">
      <c r="A15" s="3">
        <v>36217</v>
      </c>
      <c r="B15" s="1">
        <v>12663</v>
      </c>
      <c r="C15" s="1">
        <v>328</v>
      </c>
      <c r="D15" s="1">
        <v>-3.4076000000000002E-2</v>
      </c>
      <c r="E15" s="1" t="str">
        <f t="shared" si="0"/>
        <v>FGINX</v>
      </c>
    </row>
    <row r="16" spans="1:18" ht="14.25" customHeight="1" x14ac:dyDescent="0.25">
      <c r="A16" s="3">
        <v>36250</v>
      </c>
      <c r="B16" s="1">
        <v>12663</v>
      </c>
      <c r="C16" s="1">
        <v>351.9</v>
      </c>
      <c r="D16" s="1">
        <v>4.4776000000000003E-2</v>
      </c>
      <c r="E16" s="1" t="str">
        <f t="shared" si="0"/>
        <v>FGINX</v>
      </c>
    </row>
    <row r="17" spans="1:5" ht="14.25" customHeight="1" x14ac:dyDescent="0.25">
      <c r="A17" s="3">
        <v>36280</v>
      </c>
      <c r="B17" s="1">
        <v>12663</v>
      </c>
      <c r="C17" s="1">
        <v>372.6</v>
      </c>
      <c r="D17" s="1">
        <v>3.5020000000000003E-2</v>
      </c>
      <c r="E17" s="1" t="str">
        <f t="shared" si="0"/>
        <v>FGINX</v>
      </c>
    </row>
    <row r="18" spans="1:5" ht="14.25" customHeight="1" x14ac:dyDescent="0.25">
      <c r="A18" s="3">
        <v>36308</v>
      </c>
      <c r="B18" s="1">
        <v>12663</v>
      </c>
      <c r="C18" s="1">
        <v>363.9</v>
      </c>
      <c r="D18" s="1">
        <v>-3.5153999999999998E-2</v>
      </c>
      <c r="E18" s="1" t="str">
        <f t="shared" si="0"/>
        <v>FGINX</v>
      </c>
    </row>
    <row r="19" spans="1:5" ht="14.25" customHeight="1" x14ac:dyDescent="0.25">
      <c r="A19" s="3">
        <v>36341</v>
      </c>
      <c r="B19" s="1">
        <v>12663</v>
      </c>
      <c r="C19" s="1">
        <v>389.7</v>
      </c>
      <c r="D19" s="1">
        <v>5.5302999999999998E-2</v>
      </c>
      <c r="E19" s="1" t="str">
        <f t="shared" si="0"/>
        <v>FGINX</v>
      </c>
    </row>
    <row r="20" spans="1:5" ht="14.25" customHeight="1" x14ac:dyDescent="0.25">
      <c r="A20" s="3">
        <v>36371</v>
      </c>
      <c r="B20" s="1">
        <v>12663</v>
      </c>
      <c r="C20" s="1">
        <v>376.4</v>
      </c>
      <c r="D20" s="1">
        <v>-4.3656E-2</v>
      </c>
      <c r="E20" s="1" t="str">
        <f t="shared" si="0"/>
        <v>FGINX</v>
      </c>
    </row>
    <row r="21" spans="1:5" ht="14.25" customHeight="1" x14ac:dyDescent="0.25">
      <c r="A21" s="3">
        <v>36403</v>
      </c>
      <c r="B21" s="1">
        <v>12663</v>
      </c>
      <c r="C21" s="1">
        <v>377.8</v>
      </c>
      <c r="D21" s="1">
        <v>-1.0961E-2</v>
      </c>
      <c r="E21" s="1" t="str">
        <f t="shared" si="0"/>
        <v>FGINX</v>
      </c>
    </row>
    <row r="22" spans="1:5" ht="14.25" customHeight="1" x14ac:dyDescent="0.25">
      <c r="A22" s="3">
        <v>36433</v>
      </c>
      <c r="B22" s="1">
        <v>12663</v>
      </c>
      <c r="C22" s="1">
        <v>377.8</v>
      </c>
      <c r="D22" s="1">
        <v>-1.043E-2</v>
      </c>
      <c r="E22" s="1" t="str">
        <f t="shared" si="0"/>
        <v>FGINX</v>
      </c>
    </row>
    <row r="23" spans="1:5" ht="14.25" customHeight="1" x14ac:dyDescent="0.25">
      <c r="A23" s="3">
        <v>36462</v>
      </c>
      <c r="B23" s="1">
        <v>12663</v>
      </c>
      <c r="C23" s="1">
        <v>401.9</v>
      </c>
      <c r="D23" s="1">
        <v>5.5303999999999999E-2</v>
      </c>
      <c r="E23" s="1" t="str">
        <f t="shared" si="0"/>
        <v>FGINX</v>
      </c>
    </row>
    <row r="24" spans="1:5" ht="14.25" customHeight="1" x14ac:dyDescent="0.25">
      <c r="A24" s="3">
        <v>36494</v>
      </c>
      <c r="B24" s="1">
        <v>12663</v>
      </c>
      <c r="C24" s="1">
        <v>418.4</v>
      </c>
      <c r="D24" s="1">
        <v>3.4659000000000002E-2</v>
      </c>
      <c r="E24" s="1" t="str">
        <f t="shared" si="0"/>
        <v>FGINX</v>
      </c>
    </row>
    <row r="25" spans="1:5" ht="14.25" customHeight="1" x14ac:dyDescent="0.25">
      <c r="A25" s="3">
        <v>36525</v>
      </c>
      <c r="B25" s="1">
        <v>12663</v>
      </c>
      <c r="C25" s="1">
        <v>458</v>
      </c>
      <c r="D25" s="1">
        <v>8.8963E-2</v>
      </c>
      <c r="E25" s="1" t="str">
        <f t="shared" si="0"/>
        <v>FGINX</v>
      </c>
    </row>
    <row r="26" spans="1:5" ht="14.25" customHeight="1" x14ac:dyDescent="0.25">
      <c r="A26" s="3">
        <v>36556</v>
      </c>
      <c r="B26" s="1">
        <v>12663</v>
      </c>
      <c r="C26" s="1">
        <v>436.8</v>
      </c>
      <c r="D26" s="1">
        <v>-5.4053999999999998E-2</v>
      </c>
      <c r="E26" s="1" t="str">
        <f t="shared" si="0"/>
        <v>FGINX</v>
      </c>
    </row>
    <row r="27" spans="1:5" ht="14.25" customHeight="1" x14ac:dyDescent="0.25">
      <c r="A27" s="3">
        <v>36585</v>
      </c>
      <c r="B27" s="1">
        <v>12663</v>
      </c>
      <c r="C27" s="1">
        <v>467.6</v>
      </c>
      <c r="D27" s="1">
        <v>6.1039000000000003E-2</v>
      </c>
      <c r="E27" s="1" t="str">
        <f t="shared" si="0"/>
        <v>FGINX</v>
      </c>
    </row>
    <row r="28" spans="1:5" ht="14.25" customHeight="1" x14ac:dyDescent="0.25">
      <c r="A28" s="3">
        <v>36616</v>
      </c>
      <c r="B28" s="1">
        <v>12663</v>
      </c>
      <c r="C28" s="1">
        <v>499.7</v>
      </c>
      <c r="D28" s="1">
        <v>6.3646999999999995E-2</v>
      </c>
      <c r="E28" s="1" t="str">
        <f t="shared" si="0"/>
        <v>FGINX</v>
      </c>
    </row>
    <row r="29" spans="1:5" ht="14.25" customHeight="1" x14ac:dyDescent="0.25">
      <c r="A29" s="3">
        <v>36644</v>
      </c>
      <c r="B29" s="1">
        <v>12663</v>
      </c>
      <c r="C29" s="1">
        <v>495.2</v>
      </c>
      <c r="D29" s="1">
        <v>-1.7836999999999999E-2</v>
      </c>
      <c r="E29" s="1" t="str">
        <f t="shared" si="0"/>
        <v>FGINX</v>
      </c>
    </row>
    <row r="30" spans="1:5" ht="14.25" customHeight="1" x14ac:dyDescent="0.25">
      <c r="A30" s="3">
        <v>36677</v>
      </c>
      <c r="B30" s="1">
        <v>12663</v>
      </c>
      <c r="C30" s="1">
        <v>478.5</v>
      </c>
      <c r="D30" s="1">
        <v>-3.8663999999999997E-2</v>
      </c>
      <c r="E30" s="1" t="str">
        <f t="shared" si="0"/>
        <v>FGINX</v>
      </c>
    </row>
    <row r="31" spans="1:5" ht="14.25" customHeight="1" x14ac:dyDescent="0.25">
      <c r="A31" s="3">
        <v>36707</v>
      </c>
      <c r="B31" s="1">
        <v>12663</v>
      </c>
      <c r="C31" s="1">
        <v>491.7</v>
      </c>
      <c r="D31" s="1">
        <v>2.1328E-2</v>
      </c>
      <c r="E31" s="1" t="str">
        <f t="shared" si="0"/>
        <v>FGINX</v>
      </c>
    </row>
    <row r="32" spans="1:5" ht="14.25" customHeight="1" x14ac:dyDescent="0.25">
      <c r="A32" s="3">
        <v>36738</v>
      </c>
      <c r="B32" s="1">
        <v>12663</v>
      </c>
      <c r="C32" s="1">
        <v>476.6</v>
      </c>
      <c r="D32" s="1">
        <v>-3.4009999999999999E-2</v>
      </c>
      <c r="E32" s="1" t="str">
        <f t="shared" si="0"/>
        <v>FGINX</v>
      </c>
    </row>
    <row r="33" spans="1:5" ht="14.25" customHeight="1" x14ac:dyDescent="0.25">
      <c r="A33" s="3">
        <v>36769</v>
      </c>
      <c r="B33" s="1">
        <v>12663</v>
      </c>
      <c r="C33" s="1">
        <v>513.6</v>
      </c>
      <c r="D33" s="1">
        <v>7.1649000000000004E-2</v>
      </c>
      <c r="E33" s="1" t="str">
        <f t="shared" si="0"/>
        <v>FGINX</v>
      </c>
    </row>
    <row r="34" spans="1:5" ht="14.25" customHeight="1" x14ac:dyDescent="0.25">
      <c r="A34" s="3">
        <v>36798</v>
      </c>
      <c r="B34" s="1">
        <v>12663</v>
      </c>
      <c r="C34" s="1">
        <v>493.9</v>
      </c>
      <c r="D34" s="1">
        <v>-4.2651000000000001E-2</v>
      </c>
      <c r="E34" s="1" t="str">
        <f t="shared" si="0"/>
        <v>FGINX</v>
      </c>
    </row>
    <row r="35" spans="1:5" ht="14.25" customHeight="1" x14ac:dyDescent="0.25">
      <c r="A35" s="3">
        <v>36830</v>
      </c>
      <c r="B35" s="1">
        <v>12663</v>
      </c>
      <c r="C35" s="1">
        <v>490</v>
      </c>
      <c r="D35" s="1">
        <v>-1.2643E-2</v>
      </c>
      <c r="E35" s="1" t="str">
        <f t="shared" si="0"/>
        <v>FGINX</v>
      </c>
    </row>
    <row r="36" spans="1:5" ht="14.25" customHeight="1" x14ac:dyDescent="0.25">
      <c r="A36" s="3">
        <v>36860</v>
      </c>
      <c r="B36" s="1">
        <v>12663</v>
      </c>
      <c r="C36" s="1">
        <v>454.5</v>
      </c>
      <c r="D36" s="1">
        <v>-8.0257999999999996E-2</v>
      </c>
      <c r="E36" s="1" t="str">
        <f t="shared" si="0"/>
        <v>FGINX</v>
      </c>
    </row>
    <row r="37" spans="1:5" ht="14.25" customHeight="1" x14ac:dyDescent="0.25">
      <c r="A37" s="3">
        <v>36889</v>
      </c>
      <c r="B37" s="1">
        <v>12663</v>
      </c>
      <c r="C37" s="1">
        <v>475.3</v>
      </c>
      <c r="D37" s="1">
        <v>4.4492999999999998E-2</v>
      </c>
      <c r="E37" s="1" t="str">
        <f t="shared" si="0"/>
        <v>FGINX</v>
      </c>
    </row>
    <row r="38" spans="1:5" ht="14.25" customHeight="1" x14ac:dyDescent="0.25">
      <c r="A38" s="3">
        <v>36922</v>
      </c>
      <c r="B38" s="1">
        <v>12663</v>
      </c>
      <c r="C38" s="1">
        <v>470.9</v>
      </c>
      <c r="D38" s="1">
        <v>-9.7769999999999992E-3</v>
      </c>
      <c r="E38" s="1" t="str">
        <f t="shared" si="0"/>
        <v>FGINX</v>
      </c>
    </row>
    <row r="39" spans="1:5" ht="14.25" customHeight="1" x14ac:dyDescent="0.25">
      <c r="A39" s="3">
        <v>36950</v>
      </c>
      <c r="B39" s="1">
        <v>12663</v>
      </c>
      <c r="C39" s="1">
        <v>444.6</v>
      </c>
      <c r="D39" s="1">
        <v>-5.8533000000000002E-2</v>
      </c>
      <c r="E39" s="1" t="str">
        <f t="shared" si="0"/>
        <v>FGINX</v>
      </c>
    </row>
    <row r="40" spans="1:5" ht="14.25" customHeight="1" x14ac:dyDescent="0.25">
      <c r="A40" s="3">
        <v>36980</v>
      </c>
      <c r="B40" s="1">
        <v>12663</v>
      </c>
      <c r="C40" s="1">
        <v>426.5</v>
      </c>
      <c r="D40" s="1">
        <v>-4.1947999999999999E-2</v>
      </c>
      <c r="E40" s="1" t="str">
        <f t="shared" si="0"/>
        <v>FGINX</v>
      </c>
    </row>
    <row r="41" spans="1:5" ht="14.25" customHeight="1" x14ac:dyDescent="0.25">
      <c r="A41" s="3">
        <v>37011</v>
      </c>
      <c r="B41" s="1">
        <v>12663</v>
      </c>
      <c r="C41" s="1">
        <v>460.7</v>
      </c>
      <c r="D41" s="1">
        <v>7.6760999999999996E-2</v>
      </c>
      <c r="E41" s="1" t="str">
        <f t="shared" si="0"/>
        <v>FGINX</v>
      </c>
    </row>
    <row r="42" spans="1:5" ht="14.25" customHeight="1" x14ac:dyDescent="0.25">
      <c r="A42" s="3">
        <v>37042</v>
      </c>
      <c r="B42" s="1">
        <v>12663</v>
      </c>
      <c r="C42" s="1">
        <v>466.9</v>
      </c>
      <c r="D42" s="1">
        <v>9.4549999999999999E-3</v>
      </c>
      <c r="E42" s="1" t="str">
        <f t="shared" si="0"/>
        <v>FGINX</v>
      </c>
    </row>
    <row r="43" spans="1:5" ht="14.25" customHeight="1" x14ac:dyDescent="0.25">
      <c r="A43" s="3">
        <v>37071</v>
      </c>
      <c r="B43" s="1">
        <v>12663</v>
      </c>
      <c r="C43" s="1">
        <v>449.9</v>
      </c>
      <c r="D43" s="1">
        <v>-4.6829999999999997E-2</v>
      </c>
      <c r="E43" s="1" t="str">
        <f t="shared" si="0"/>
        <v>FGINX</v>
      </c>
    </row>
    <row r="44" spans="1:5" ht="14.25" customHeight="1" x14ac:dyDescent="0.25">
      <c r="A44" s="3">
        <v>37103</v>
      </c>
      <c r="B44" s="1">
        <v>12663</v>
      </c>
      <c r="C44" s="1">
        <v>432.7</v>
      </c>
      <c r="D44" s="1">
        <v>-4.3117000000000003E-2</v>
      </c>
      <c r="E44" s="1" t="str">
        <f t="shared" si="0"/>
        <v>FGINX</v>
      </c>
    </row>
    <row r="45" spans="1:5" ht="14.25" customHeight="1" x14ac:dyDescent="0.25">
      <c r="A45" s="3">
        <v>37134</v>
      </c>
      <c r="B45" s="1">
        <v>12663</v>
      </c>
      <c r="C45" s="1">
        <v>411.2</v>
      </c>
      <c r="D45" s="1">
        <v>-5.2963999999999997E-2</v>
      </c>
      <c r="E45" s="1" t="str">
        <f t="shared" si="0"/>
        <v>FGINX</v>
      </c>
    </row>
    <row r="46" spans="1:5" ht="14.25" customHeight="1" x14ac:dyDescent="0.25">
      <c r="A46" s="3">
        <v>37162</v>
      </c>
      <c r="B46" s="1">
        <v>12663</v>
      </c>
      <c r="C46" s="1">
        <v>383.5</v>
      </c>
      <c r="D46" s="1">
        <v>-6.8446999999999994E-2</v>
      </c>
      <c r="E46" s="1" t="str">
        <f t="shared" si="0"/>
        <v>FGINX</v>
      </c>
    </row>
    <row r="47" spans="1:5" ht="14.25" customHeight="1" x14ac:dyDescent="0.25">
      <c r="A47" s="3">
        <v>37195</v>
      </c>
      <c r="B47" s="1">
        <v>12663</v>
      </c>
      <c r="C47" s="1">
        <v>388.3</v>
      </c>
      <c r="D47" s="1">
        <v>8.9689999999999995E-3</v>
      </c>
      <c r="E47" s="1" t="str">
        <f t="shared" si="0"/>
        <v>FGINX</v>
      </c>
    </row>
    <row r="48" spans="1:5" ht="14.25" customHeight="1" x14ac:dyDescent="0.25">
      <c r="A48" s="3">
        <v>37225</v>
      </c>
      <c r="B48" s="1">
        <v>12663</v>
      </c>
      <c r="C48" s="1">
        <v>412.5</v>
      </c>
      <c r="D48" s="1">
        <v>5.6889000000000002E-2</v>
      </c>
      <c r="E48" s="1" t="str">
        <f t="shared" si="0"/>
        <v>FGINX</v>
      </c>
    </row>
    <row r="49" spans="1:5" ht="14.25" customHeight="1" x14ac:dyDescent="0.25">
      <c r="A49" s="3">
        <v>37256</v>
      </c>
      <c r="B49" s="1">
        <v>12663</v>
      </c>
      <c r="C49" s="1">
        <v>420.3</v>
      </c>
      <c r="D49" s="1">
        <v>1.4298E-2</v>
      </c>
      <c r="E49" s="1" t="str">
        <f t="shared" si="0"/>
        <v>FGINX</v>
      </c>
    </row>
    <row r="50" spans="1:5" ht="14.25" customHeight="1" x14ac:dyDescent="0.25">
      <c r="A50" s="3">
        <v>37287</v>
      </c>
      <c r="B50" s="1">
        <v>12663</v>
      </c>
      <c r="C50" s="1">
        <v>412.2</v>
      </c>
      <c r="D50" s="1">
        <v>-2.8239E-2</v>
      </c>
      <c r="E50" s="1" t="str">
        <f t="shared" si="0"/>
        <v>FGINX</v>
      </c>
    </row>
    <row r="51" spans="1:5" ht="14.25" customHeight="1" x14ac:dyDescent="0.25">
      <c r="A51" s="3">
        <v>37315</v>
      </c>
      <c r="B51" s="1">
        <v>12663</v>
      </c>
      <c r="C51" s="1">
        <v>410</v>
      </c>
      <c r="D51" s="1">
        <v>-1.1110999999999999E-2</v>
      </c>
      <c r="E51" s="1" t="str">
        <f t="shared" si="0"/>
        <v>FGINX</v>
      </c>
    </row>
    <row r="52" spans="1:5" ht="14.25" customHeight="1" x14ac:dyDescent="0.25">
      <c r="A52" s="3">
        <v>37343</v>
      </c>
      <c r="B52" s="1">
        <v>12663</v>
      </c>
      <c r="C52" s="1">
        <v>428</v>
      </c>
      <c r="D52" s="1">
        <v>3.6991999999999997E-2</v>
      </c>
      <c r="E52" s="1" t="str">
        <f t="shared" si="0"/>
        <v>FGINX</v>
      </c>
    </row>
    <row r="53" spans="1:5" ht="14.25" customHeight="1" x14ac:dyDescent="0.25">
      <c r="A53" s="3">
        <v>37376</v>
      </c>
      <c r="B53" s="1">
        <v>12663</v>
      </c>
      <c r="C53" s="1">
        <v>420.3</v>
      </c>
      <c r="D53" s="1">
        <v>-3.3361000000000002E-2</v>
      </c>
      <c r="E53" s="1" t="str">
        <f t="shared" si="0"/>
        <v>FGINX</v>
      </c>
    </row>
    <row r="54" spans="1:5" ht="14.25" customHeight="1" x14ac:dyDescent="0.25">
      <c r="A54" s="3">
        <v>37407</v>
      </c>
      <c r="B54" s="1">
        <v>12663</v>
      </c>
      <c r="C54" s="1">
        <v>412.1</v>
      </c>
      <c r="D54" s="1">
        <v>-1.7256000000000001E-2</v>
      </c>
      <c r="E54" s="1" t="str">
        <f t="shared" si="0"/>
        <v>FGINX</v>
      </c>
    </row>
    <row r="55" spans="1:5" ht="14.25" customHeight="1" x14ac:dyDescent="0.25">
      <c r="A55" s="3">
        <v>37435</v>
      </c>
      <c r="B55" s="1">
        <v>12663</v>
      </c>
      <c r="C55" s="1">
        <v>382.7</v>
      </c>
      <c r="D55" s="1">
        <v>-7.1114999999999998E-2</v>
      </c>
      <c r="E55" s="1" t="str">
        <f t="shared" si="0"/>
        <v>FGINX</v>
      </c>
    </row>
    <row r="56" spans="1:5" ht="14.25" customHeight="1" x14ac:dyDescent="0.25">
      <c r="A56" s="3">
        <v>37468</v>
      </c>
      <c r="B56" s="1">
        <v>12663</v>
      </c>
      <c r="C56" s="1">
        <v>348.7</v>
      </c>
      <c r="D56" s="1">
        <v>-8.1284999999999996E-2</v>
      </c>
      <c r="E56" s="1" t="str">
        <f t="shared" si="0"/>
        <v>FGINX</v>
      </c>
    </row>
    <row r="57" spans="1:5" ht="14.25" customHeight="1" x14ac:dyDescent="0.25">
      <c r="A57" s="3">
        <v>37498</v>
      </c>
      <c r="B57" s="1">
        <v>12663</v>
      </c>
      <c r="C57" s="1">
        <v>352.7</v>
      </c>
      <c r="D57" s="1">
        <v>8.2299999999999995E-3</v>
      </c>
      <c r="E57" s="1" t="str">
        <f t="shared" si="0"/>
        <v>FGINX</v>
      </c>
    </row>
    <row r="58" spans="1:5" ht="14.25" customHeight="1" x14ac:dyDescent="0.25">
      <c r="A58" s="3">
        <v>37529</v>
      </c>
      <c r="B58" s="1">
        <v>12663</v>
      </c>
      <c r="C58" s="1">
        <v>317.89999999999998</v>
      </c>
      <c r="D58" s="1">
        <v>-9.7959000000000004E-2</v>
      </c>
      <c r="E58" s="1" t="str">
        <f t="shared" si="0"/>
        <v>FGINX</v>
      </c>
    </row>
    <row r="59" spans="1:5" ht="14.25" customHeight="1" x14ac:dyDescent="0.25">
      <c r="A59" s="3">
        <v>37560</v>
      </c>
      <c r="B59" s="1">
        <v>12663</v>
      </c>
      <c r="C59" s="1">
        <v>329.8</v>
      </c>
      <c r="D59" s="1">
        <v>3.9638E-2</v>
      </c>
      <c r="E59" s="1" t="str">
        <f t="shared" si="0"/>
        <v>FGINX</v>
      </c>
    </row>
    <row r="60" spans="1:5" ht="14.25" customHeight="1" x14ac:dyDescent="0.25">
      <c r="A60" s="3">
        <v>37589</v>
      </c>
      <c r="B60" s="1">
        <v>12663</v>
      </c>
      <c r="C60" s="1">
        <v>351.9</v>
      </c>
      <c r="D60" s="1">
        <v>6.6448999999999994E-2</v>
      </c>
      <c r="E60" s="1" t="str">
        <f t="shared" si="0"/>
        <v>FGINX</v>
      </c>
    </row>
    <row r="61" spans="1:5" ht="14.25" customHeight="1" x14ac:dyDescent="0.25">
      <c r="A61" s="3">
        <v>37621</v>
      </c>
      <c r="B61" s="1">
        <v>12663</v>
      </c>
      <c r="C61" s="1">
        <v>333.8</v>
      </c>
      <c r="D61" s="1">
        <v>-5.2604999999999999E-2</v>
      </c>
      <c r="E61" s="1" t="str">
        <f t="shared" si="0"/>
        <v>FGINX</v>
      </c>
    </row>
    <row r="62" spans="1:5" ht="14.25" customHeight="1" x14ac:dyDescent="0.25">
      <c r="A62" s="3">
        <v>37652</v>
      </c>
      <c r="B62" s="1">
        <v>12663</v>
      </c>
      <c r="C62" s="1">
        <v>325.89999999999998</v>
      </c>
      <c r="D62" s="1">
        <v>-1.9438E-2</v>
      </c>
      <c r="E62" s="1" t="str">
        <f t="shared" si="0"/>
        <v>FGINX</v>
      </c>
    </row>
    <row r="63" spans="1:5" ht="14.25" customHeight="1" x14ac:dyDescent="0.25">
      <c r="A63" s="3">
        <v>37680</v>
      </c>
      <c r="B63" s="1">
        <v>12663</v>
      </c>
      <c r="C63" s="1">
        <v>317.39999999999998</v>
      </c>
      <c r="D63" s="1">
        <v>-2.2026E-2</v>
      </c>
      <c r="E63" s="1" t="str">
        <f t="shared" si="0"/>
        <v>FGINX</v>
      </c>
    </row>
    <row r="64" spans="1:5" ht="14.25" customHeight="1" x14ac:dyDescent="0.25">
      <c r="A64" s="3">
        <v>37711</v>
      </c>
      <c r="B64" s="1">
        <v>12663</v>
      </c>
      <c r="C64" s="1">
        <v>317.8</v>
      </c>
      <c r="D64" s="1">
        <v>2.2520000000000001E-3</v>
      </c>
      <c r="E64" s="1" t="str">
        <f t="shared" si="0"/>
        <v>FGINX</v>
      </c>
    </row>
    <row r="65" spans="1:5" ht="14.25" customHeight="1" x14ac:dyDescent="0.25">
      <c r="A65" s="3">
        <v>37741</v>
      </c>
      <c r="B65" s="1">
        <v>12663</v>
      </c>
      <c r="C65" s="1">
        <v>342.6</v>
      </c>
      <c r="D65" s="1">
        <v>7.3116E-2</v>
      </c>
      <c r="E65" s="1" t="str">
        <f t="shared" si="0"/>
        <v>FGINX</v>
      </c>
    </row>
    <row r="66" spans="1:5" ht="14.25" customHeight="1" x14ac:dyDescent="0.25">
      <c r="A66" s="3">
        <v>37771</v>
      </c>
      <c r="B66" s="1">
        <v>12663</v>
      </c>
      <c r="C66" s="1">
        <v>366.8</v>
      </c>
      <c r="D66" s="1">
        <v>6.7086000000000007E-2</v>
      </c>
      <c r="E66" s="1" t="str">
        <f t="shared" si="0"/>
        <v>FGINX</v>
      </c>
    </row>
    <row r="67" spans="1:5" ht="14.25" customHeight="1" x14ac:dyDescent="0.25">
      <c r="A67" s="3">
        <v>37802</v>
      </c>
      <c r="B67" s="1">
        <v>12663</v>
      </c>
      <c r="C67" s="1">
        <v>376.4</v>
      </c>
      <c r="D67" s="1">
        <v>1.6698999999999999E-2</v>
      </c>
      <c r="E67" s="1" t="str">
        <f t="shared" si="0"/>
        <v>FGINX</v>
      </c>
    </row>
    <row r="68" spans="1:5" ht="14.25" customHeight="1" x14ac:dyDescent="0.25">
      <c r="A68" s="3">
        <v>37833</v>
      </c>
      <c r="B68" s="1">
        <v>12663</v>
      </c>
      <c r="C68" s="1">
        <v>387</v>
      </c>
      <c r="D68" s="1">
        <v>1.8374999999999999E-2</v>
      </c>
      <c r="E68" s="1" t="str">
        <f t="shared" si="0"/>
        <v>FGINX</v>
      </c>
    </row>
    <row r="69" spans="1:5" ht="14.25" customHeight="1" x14ac:dyDescent="0.25">
      <c r="A69" s="3">
        <v>37862</v>
      </c>
      <c r="B69" s="1">
        <v>12663</v>
      </c>
      <c r="C69" s="1">
        <v>400.2</v>
      </c>
      <c r="D69" s="1">
        <v>2.3741999999999999E-2</v>
      </c>
      <c r="E69" s="1" t="str">
        <f t="shared" si="0"/>
        <v>FGINX</v>
      </c>
    </row>
    <row r="70" spans="1:5" ht="14.25" customHeight="1" x14ac:dyDescent="0.25">
      <c r="A70" s="3">
        <v>37894</v>
      </c>
      <c r="B70" s="1">
        <v>12663</v>
      </c>
      <c r="C70" s="1">
        <v>399.5</v>
      </c>
      <c r="D70" s="1">
        <v>-8.5339999999999999E-3</v>
      </c>
      <c r="E70" s="1" t="str">
        <f t="shared" si="0"/>
        <v>FGINX</v>
      </c>
    </row>
    <row r="71" spans="1:5" ht="14.25" customHeight="1" x14ac:dyDescent="0.25">
      <c r="A71" s="3">
        <v>37925</v>
      </c>
      <c r="B71" s="1">
        <v>12663</v>
      </c>
      <c r="C71" s="1">
        <v>428.4</v>
      </c>
      <c r="D71" s="1">
        <v>5.9924999999999999E-2</v>
      </c>
      <c r="E71" s="1" t="str">
        <f t="shared" si="0"/>
        <v>FGINX</v>
      </c>
    </row>
    <row r="72" spans="1:5" ht="14.25" customHeight="1" x14ac:dyDescent="0.25">
      <c r="A72" s="3">
        <v>37953</v>
      </c>
      <c r="B72" s="1">
        <v>12663</v>
      </c>
      <c r="C72" s="1">
        <v>438.4</v>
      </c>
      <c r="D72" s="1">
        <v>1.5900999999999998E-2</v>
      </c>
      <c r="E72" s="1" t="str">
        <f t="shared" si="0"/>
        <v>FGINX</v>
      </c>
    </row>
    <row r="73" spans="1:5" ht="14.25" customHeight="1" x14ac:dyDescent="0.25">
      <c r="A73" s="3">
        <v>37986</v>
      </c>
      <c r="B73" s="1">
        <v>12663</v>
      </c>
      <c r="C73" s="1">
        <v>463.2</v>
      </c>
      <c r="D73" s="1">
        <v>4.2609000000000001E-2</v>
      </c>
      <c r="E73" s="1" t="str">
        <f t="shared" si="0"/>
        <v>FGINX</v>
      </c>
    </row>
    <row r="74" spans="1:5" ht="14.25" customHeight="1" x14ac:dyDescent="0.25">
      <c r="A74" s="3">
        <v>38016</v>
      </c>
      <c r="B74" s="1">
        <v>12663</v>
      </c>
      <c r="C74" s="1">
        <v>477.7</v>
      </c>
      <c r="D74" s="1">
        <v>2.0868000000000001E-2</v>
      </c>
      <c r="E74" s="1" t="str">
        <f t="shared" si="0"/>
        <v>FGINX</v>
      </c>
    </row>
    <row r="75" spans="1:5" ht="14.25" customHeight="1" x14ac:dyDescent="0.25">
      <c r="A75" s="3">
        <v>38044</v>
      </c>
      <c r="B75" s="1">
        <v>12663</v>
      </c>
      <c r="C75" s="1">
        <v>490.6</v>
      </c>
      <c r="D75" s="1">
        <v>1.9623999999999999E-2</v>
      </c>
      <c r="E75" s="1" t="str">
        <f t="shared" si="0"/>
        <v>FGINX</v>
      </c>
    </row>
    <row r="76" spans="1:5" ht="14.25" customHeight="1" x14ac:dyDescent="0.25">
      <c r="A76" s="3">
        <v>38077</v>
      </c>
      <c r="B76" s="1">
        <v>12663</v>
      </c>
      <c r="C76" s="1">
        <v>489.4</v>
      </c>
      <c r="D76" s="1">
        <v>-1.0024E-2</v>
      </c>
      <c r="E76" s="1" t="str">
        <f t="shared" si="0"/>
        <v>FGINX</v>
      </c>
    </row>
    <row r="77" spans="1:5" ht="14.25" customHeight="1" x14ac:dyDescent="0.25">
      <c r="A77" s="3">
        <v>38107</v>
      </c>
      <c r="B77" s="1">
        <v>12663</v>
      </c>
      <c r="C77" s="1">
        <v>478.6</v>
      </c>
      <c r="D77" s="1">
        <v>-3.1605000000000001E-2</v>
      </c>
      <c r="E77" s="1" t="str">
        <f t="shared" si="0"/>
        <v>FGINX</v>
      </c>
    </row>
    <row r="78" spans="1:5" ht="14.25" customHeight="1" x14ac:dyDescent="0.25">
      <c r="A78" s="3">
        <v>38135</v>
      </c>
      <c r="B78" s="1">
        <v>12663</v>
      </c>
      <c r="C78" s="1">
        <v>485.8</v>
      </c>
      <c r="D78" s="1">
        <v>7.5310000000000004E-3</v>
      </c>
      <c r="E78" s="1" t="str">
        <f t="shared" si="0"/>
        <v>FGINX</v>
      </c>
    </row>
    <row r="79" spans="1:5" ht="14.25" customHeight="1" x14ac:dyDescent="0.25">
      <c r="A79" s="3">
        <v>38168</v>
      </c>
      <c r="B79" s="1">
        <v>12663</v>
      </c>
      <c r="C79" s="1">
        <v>497.6</v>
      </c>
      <c r="D79" s="1">
        <v>1.7857000000000001E-2</v>
      </c>
      <c r="E79" s="1" t="str">
        <f t="shared" si="0"/>
        <v>FGINX</v>
      </c>
    </row>
    <row r="80" spans="1:5" ht="14.25" customHeight="1" x14ac:dyDescent="0.25">
      <c r="A80" s="3">
        <v>38198</v>
      </c>
      <c r="B80" s="1">
        <v>12663</v>
      </c>
      <c r="C80" s="1">
        <v>482.5</v>
      </c>
      <c r="D80" s="1">
        <v>-3.3468999999999999E-2</v>
      </c>
      <c r="E80" s="1" t="str">
        <f t="shared" si="0"/>
        <v>FGINX</v>
      </c>
    </row>
    <row r="81" spans="1:5" ht="14.25" customHeight="1" x14ac:dyDescent="0.25">
      <c r="A81" s="3">
        <v>38230</v>
      </c>
      <c r="B81" s="1">
        <v>12663</v>
      </c>
      <c r="C81" s="1">
        <v>486.4</v>
      </c>
      <c r="D81" s="1">
        <v>4.2230000000000002E-3</v>
      </c>
      <c r="E81" s="1" t="str">
        <f t="shared" si="0"/>
        <v>FGINX</v>
      </c>
    </row>
    <row r="82" spans="1:5" ht="14.25" customHeight="1" x14ac:dyDescent="0.25">
      <c r="A82" s="3">
        <v>38260</v>
      </c>
      <c r="B82" s="1">
        <v>12663</v>
      </c>
      <c r="C82" s="1">
        <v>498.4</v>
      </c>
      <c r="D82" s="1">
        <v>2.1867000000000001E-2</v>
      </c>
      <c r="E82" s="1" t="str">
        <f t="shared" si="0"/>
        <v>FGINX</v>
      </c>
    </row>
    <row r="83" spans="1:5" ht="14.25" customHeight="1" x14ac:dyDescent="0.25">
      <c r="A83" s="3">
        <v>38289</v>
      </c>
      <c r="B83" s="1">
        <v>12663</v>
      </c>
      <c r="C83" s="1">
        <v>502.1</v>
      </c>
      <c r="D83" s="1">
        <v>2.4710000000000001E-3</v>
      </c>
      <c r="E83" s="1" t="str">
        <f t="shared" si="0"/>
        <v>FGINX</v>
      </c>
    </row>
    <row r="84" spans="1:5" ht="14.25" customHeight="1" x14ac:dyDescent="0.25">
      <c r="A84" s="3">
        <v>38321</v>
      </c>
      <c r="B84" s="1">
        <v>12663</v>
      </c>
      <c r="C84" s="1">
        <v>531.4</v>
      </c>
      <c r="D84" s="1">
        <v>5.3409999999999999E-2</v>
      </c>
      <c r="E84" s="1" t="str">
        <f t="shared" si="0"/>
        <v>FGINX</v>
      </c>
    </row>
    <row r="85" spans="1:5" ht="14.25" customHeight="1" x14ac:dyDescent="0.25">
      <c r="A85" s="3">
        <v>38352</v>
      </c>
      <c r="B85" s="1">
        <v>12663</v>
      </c>
      <c r="C85" s="1">
        <v>548.5</v>
      </c>
      <c r="D85" s="1">
        <v>3.4320999999999997E-2</v>
      </c>
      <c r="E85" s="1" t="str">
        <f t="shared" si="0"/>
        <v>FGINX</v>
      </c>
    </row>
    <row r="86" spans="1:5" ht="14.25" customHeight="1" x14ac:dyDescent="0.25">
      <c r="A86" s="3">
        <v>38383</v>
      </c>
      <c r="B86" s="1">
        <v>12663</v>
      </c>
      <c r="C86" s="1">
        <v>538.1</v>
      </c>
      <c r="D86" s="1">
        <v>-2.8008999999999999E-2</v>
      </c>
      <c r="E86" s="1" t="str">
        <f t="shared" si="0"/>
        <v>FGINX</v>
      </c>
    </row>
    <row r="87" spans="1:5" ht="14.25" customHeight="1" x14ac:dyDescent="0.25">
      <c r="A87" s="3">
        <v>38411</v>
      </c>
      <c r="B87" s="1">
        <v>12663</v>
      </c>
      <c r="C87" s="1">
        <v>556.29999999999995</v>
      </c>
      <c r="D87" s="1">
        <v>2.8036999999999999E-2</v>
      </c>
      <c r="E87" s="1" t="str">
        <f t="shared" si="0"/>
        <v>FGINX</v>
      </c>
    </row>
    <row r="88" spans="1:5" ht="14.25" customHeight="1" x14ac:dyDescent="0.25">
      <c r="A88" s="3">
        <v>38442</v>
      </c>
      <c r="B88" s="1">
        <v>12663</v>
      </c>
      <c r="C88" s="1">
        <v>552.5</v>
      </c>
      <c r="D88" s="1">
        <v>-1.0038E-2</v>
      </c>
      <c r="E88" s="1" t="str">
        <f t="shared" si="0"/>
        <v>FGINX</v>
      </c>
    </row>
    <row r="89" spans="1:5" ht="14.25" customHeight="1" x14ac:dyDescent="0.25">
      <c r="A89" s="3">
        <v>38471</v>
      </c>
      <c r="B89" s="1">
        <v>12663</v>
      </c>
      <c r="C89" s="1">
        <v>540.70000000000005</v>
      </c>
      <c r="D89" s="1">
        <v>-3.0651000000000001E-2</v>
      </c>
      <c r="E89" s="1" t="str">
        <f t="shared" si="0"/>
        <v>FGINX</v>
      </c>
    </row>
    <row r="90" spans="1:5" ht="14.25" customHeight="1" x14ac:dyDescent="0.25">
      <c r="A90" s="3">
        <v>38503</v>
      </c>
      <c r="B90" s="1">
        <v>12663</v>
      </c>
      <c r="C90" s="1">
        <v>560.29999999999995</v>
      </c>
      <c r="D90" s="1">
        <v>3.3202000000000002E-2</v>
      </c>
      <c r="E90" s="1" t="str">
        <f t="shared" si="0"/>
        <v>FGINX</v>
      </c>
    </row>
    <row r="91" spans="1:5" ht="14.25" customHeight="1" x14ac:dyDescent="0.25">
      <c r="A91" s="3">
        <v>38533</v>
      </c>
      <c r="B91" s="1">
        <v>12663</v>
      </c>
      <c r="C91" s="1">
        <v>572.79999999999995</v>
      </c>
      <c r="D91" s="1">
        <v>2.1996999999999999E-2</v>
      </c>
      <c r="E91" s="1" t="str">
        <f t="shared" si="0"/>
        <v>FGINX</v>
      </c>
    </row>
    <row r="92" spans="1:5" ht="14.25" customHeight="1" x14ac:dyDescent="0.25">
      <c r="A92" s="3">
        <v>38562</v>
      </c>
      <c r="B92" s="1">
        <v>12663</v>
      </c>
      <c r="C92" s="1">
        <v>599.6</v>
      </c>
      <c r="D92" s="1">
        <v>4.2729000000000003E-2</v>
      </c>
      <c r="E92" s="1" t="str">
        <f t="shared" si="0"/>
        <v>FGINX</v>
      </c>
    </row>
    <row r="93" spans="1:5" ht="14.25" customHeight="1" x14ac:dyDescent="0.25">
      <c r="A93" s="3">
        <v>38595</v>
      </c>
      <c r="B93" s="1">
        <v>12663</v>
      </c>
      <c r="C93" s="1">
        <v>597.79999999999995</v>
      </c>
      <c r="D93" s="1">
        <v>-7.1890000000000001E-3</v>
      </c>
      <c r="E93" s="1" t="str">
        <f t="shared" si="0"/>
        <v>FGINX</v>
      </c>
    </row>
    <row r="94" spans="1:5" ht="14.25" customHeight="1" x14ac:dyDescent="0.25">
      <c r="A94" s="3">
        <v>38625</v>
      </c>
      <c r="B94" s="1">
        <v>12663</v>
      </c>
      <c r="C94" s="1">
        <v>595.9</v>
      </c>
      <c r="D94" s="1">
        <v>-9.2320000000000006E-3</v>
      </c>
      <c r="E94" s="1" t="str">
        <f t="shared" si="0"/>
        <v>FGINX</v>
      </c>
    </row>
    <row r="95" spans="1:5" ht="14.25" customHeight="1" x14ac:dyDescent="0.25">
      <c r="A95" s="3">
        <v>38656</v>
      </c>
      <c r="B95" s="1">
        <v>12663</v>
      </c>
      <c r="C95" s="1">
        <v>588.29999999999995</v>
      </c>
      <c r="D95" s="1">
        <v>-1.9019999999999999E-2</v>
      </c>
      <c r="E95" s="1" t="str">
        <f t="shared" si="0"/>
        <v>FGINX</v>
      </c>
    </row>
    <row r="96" spans="1:5" ht="14.25" customHeight="1" x14ac:dyDescent="0.25">
      <c r="A96" s="3">
        <v>38686</v>
      </c>
      <c r="B96" s="1">
        <v>12663</v>
      </c>
      <c r="C96" s="1">
        <v>615.79999999999995</v>
      </c>
      <c r="D96" s="1">
        <v>4.3250999999999998E-2</v>
      </c>
      <c r="E96" s="1" t="str">
        <f t="shared" si="0"/>
        <v>FGINX</v>
      </c>
    </row>
    <row r="97" spans="1:5" ht="14.25" customHeight="1" x14ac:dyDescent="0.25">
      <c r="A97" s="3">
        <v>38716</v>
      </c>
      <c r="B97" s="1">
        <v>12663</v>
      </c>
      <c r="C97" s="1">
        <v>619.9</v>
      </c>
      <c r="D97" s="1">
        <v>3.7529999999999998E-3</v>
      </c>
      <c r="E97" s="1" t="str">
        <f t="shared" si="0"/>
        <v>FGINX</v>
      </c>
    </row>
    <row r="98" spans="1:5" ht="14.25" customHeight="1" x14ac:dyDescent="0.25">
      <c r="A98" s="3">
        <v>38748</v>
      </c>
      <c r="B98" s="1">
        <v>12663</v>
      </c>
      <c r="C98" s="1">
        <v>649.20000000000005</v>
      </c>
      <c r="D98" s="1">
        <v>4.2765999999999998E-2</v>
      </c>
      <c r="E98" s="1" t="str">
        <f t="shared" si="0"/>
        <v>FGINX</v>
      </c>
    </row>
    <row r="99" spans="1:5" ht="14.25" customHeight="1" x14ac:dyDescent="0.25">
      <c r="A99" s="3">
        <v>38776</v>
      </c>
      <c r="B99" s="1">
        <v>12663</v>
      </c>
      <c r="C99" s="1">
        <v>647.4</v>
      </c>
      <c r="D99" s="1">
        <v>-6.1520000000000004E-3</v>
      </c>
      <c r="E99" s="1" t="str">
        <f t="shared" si="0"/>
        <v>FGINX</v>
      </c>
    </row>
    <row r="100" spans="1:5" ht="14.25" customHeight="1" x14ac:dyDescent="0.25">
      <c r="A100" s="3">
        <v>38807</v>
      </c>
      <c r="B100" s="1">
        <v>12663</v>
      </c>
      <c r="C100" s="1">
        <v>664.3</v>
      </c>
      <c r="D100" s="1">
        <v>2.1492000000000001E-2</v>
      </c>
      <c r="E100" s="1" t="str">
        <f t="shared" si="0"/>
        <v>FGINX</v>
      </c>
    </row>
    <row r="101" spans="1:5" ht="14.25" customHeight="1" x14ac:dyDescent="0.25">
      <c r="A101" s="3">
        <v>38835</v>
      </c>
      <c r="B101" s="1">
        <v>12663</v>
      </c>
      <c r="C101" s="1">
        <v>679.6</v>
      </c>
      <c r="D101" s="1">
        <v>1.5499000000000001E-2</v>
      </c>
      <c r="E101" s="1" t="str">
        <f t="shared" si="0"/>
        <v>FGINX</v>
      </c>
    </row>
    <row r="102" spans="1:5" ht="14.25" customHeight="1" x14ac:dyDescent="0.25">
      <c r="A102" s="3">
        <v>38868</v>
      </c>
      <c r="B102" s="1">
        <v>12663</v>
      </c>
      <c r="C102" s="1">
        <v>653.6</v>
      </c>
      <c r="D102" s="1">
        <v>-4.0478E-2</v>
      </c>
      <c r="E102" s="1" t="str">
        <f t="shared" si="0"/>
        <v>FGINX</v>
      </c>
    </row>
    <row r="103" spans="1:5" ht="14.25" customHeight="1" x14ac:dyDescent="0.25">
      <c r="A103" s="3">
        <v>38898</v>
      </c>
      <c r="B103" s="1">
        <v>12663</v>
      </c>
      <c r="C103" s="1">
        <v>647.5</v>
      </c>
      <c r="D103" s="1">
        <v>-1.0201E-2</v>
      </c>
      <c r="E103" s="1" t="str">
        <f t="shared" si="0"/>
        <v>FGINX</v>
      </c>
    </row>
    <row r="104" spans="1:5" ht="14.25" customHeight="1" x14ac:dyDescent="0.25">
      <c r="A104" s="3">
        <v>38929</v>
      </c>
      <c r="B104" s="1">
        <v>12663</v>
      </c>
      <c r="C104" s="1">
        <v>641.6</v>
      </c>
      <c r="D104" s="1">
        <v>-9.0910000000000001E-3</v>
      </c>
      <c r="E104" s="1" t="str">
        <f t="shared" si="0"/>
        <v>FGINX</v>
      </c>
    </row>
    <row r="105" spans="1:5" ht="14.25" customHeight="1" x14ac:dyDescent="0.25">
      <c r="A105" s="3">
        <v>38960</v>
      </c>
      <c r="B105" s="1">
        <v>12663</v>
      </c>
      <c r="C105" s="1">
        <v>656.7</v>
      </c>
      <c r="D105" s="1">
        <v>1.9054000000000001E-2</v>
      </c>
      <c r="E105" s="1" t="str">
        <f t="shared" si="0"/>
        <v>FGINX</v>
      </c>
    </row>
    <row r="106" spans="1:5" ht="14.25" customHeight="1" x14ac:dyDescent="0.25">
      <c r="A106" s="3">
        <v>38989</v>
      </c>
      <c r="B106" s="1">
        <v>12663</v>
      </c>
      <c r="C106" s="1">
        <v>670.9</v>
      </c>
      <c r="D106" s="1">
        <v>2.0256E-2</v>
      </c>
      <c r="E106" s="1" t="str">
        <f t="shared" si="0"/>
        <v>FGINX</v>
      </c>
    </row>
    <row r="107" spans="1:5" ht="14.25" customHeight="1" x14ac:dyDescent="0.25">
      <c r="A107" s="3">
        <v>39021</v>
      </c>
      <c r="B107" s="1">
        <v>12663</v>
      </c>
      <c r="C107" s="1">
        <v>694.4</v>
      </c>
      <c r="D107" s="1">
        <v>3.5346000000000002E-2</v>
      </c>
      <c r="E107" s="1" t="str">
        <f t="shared" si="0"/>
        <v>FGINX</v>
      </c>
    </row>
    <row r="108" spans="1:5" ht="14.25" customHeight="1" x14ac:dyDescent="0.25">
      <c r="A108" s="3">
        <v>39051</v>
      </c>
      <c r="B108" s="1">
        <v>12663</v>
      </c>
      <c r="C108" s="1">
        <v>716.7</v>
      </c>
      <c r="D108" s="1">
        <v>2.6991000000000001E-2</v>
      </c>
      <c r="E108" s="1" t="str">
        <f t="shared" si="0"/>
        <v>FGINX</v>
      </c>
    </row>
    <row r="109" spans="1:5" ht="14.25" customHeight="1" x14ac:dyDescent="0.25">
      <c r="A109" s="3">
        <v>39080</v>
      </c>
      <c r="B109" s="1">
        <v>12663</v>
      </c>
      <c r="C109" s="1">
        <v>723.6</v>
      </c>
      <c r="D109" s="1">
        <v>2.0840000000000001E-2</v>
      </c>
      <c r="E109" s="1" t="str">
        <f t="shared" si="0"/>
        <v>FGINX</v>
      </c>
    </row>
    <row r="110" spans="1:5" ht="14.25" customHeight="1" x14ac:dyDescent="0.25">
      <c r="A110" s="3">
        <v>39113</v>
      </c>
      <c r="B110" s="1">
        <v>12663</v>
      </c>
      <c r="C110" s="1">
        <v>746.9</v>
      </c>
      <c r="D110" s="1">
        <v>1.7187000000000001E-2</v>
      </c>
      <c r="E110" s="1" t="str">
        <f t="shared" si="0"/>
        <v>FGINX</v>
      </c>
    </row>
    <row r="111" spans="1:5" ht="14.25" customHeight="1" x14ac:dyDescent="0.25">
      <c r="A111" s="3">
        <v>39141</v>
      </c>
      <c r="B111" s="1">
        <v>12663</v>
      </c>
      <c r="C111" s="1">
        <v>737.9</v>
      </c>
      <c r="D111" s="1">
        <v>-1.2515999999999999E-2</v>
      </c>
      <c r="E111" s="1" t="str">
        <f t="shared" si="0"/>
        <v>FGINX</v>
      </c>
    </row>
    <row r="112" spans="1:5" ht="14.25" customHeight="1" x14ac:dyDescent="0.25">
      <c r="A112" s="3">
        <v>39171</v>
      </c>
      <c r="B112" s="1">
        <v>12663</v>
      </c>
      <c r="C112" s="1">
        <v>753.5</v>
      </c>
      <c r="D112" s="1">
        <v>1.8536E-2</v>
      </c>
      <c r="E112" s="1" t="str">
        <f t="shared" si="0"/>
        <v>FGINX</v>
      </c>
    </row>
    <row r="113" spans="1:5" ht="14.25" customHeight="1" x14ac:dyDescent="0.25">
      <c r="A113" s="3">
        <v>39202</v>
      </c>
      <c r="B113" s="1">
        <v>12663</v>
      </c>
      <c r="C113" s="1">
        <v>788.1</v>
      </c>
      <c r="D113" s="1">
        <v>3.9850999999999998E-2</v>
      </c>
      <c r="E113" s="1" t="str">
        <f t="shared" si="0"/>
        <v>FGINX</v>
      </c>
    </row>
    <row r="114" spans="1:5" ht="14.25" customHeight="1" x14ac:dyDescent="0.25">
      <c r="A114" s="3">
        <v>39233</v>
      </c>
      <c r="B114" s="1">
        <v>12663</v>
      </c>
      <c r="C114" s="1">
        <v>823.8</v>
      </c>
      <c r="D114" s="1">
        <v>4.1916000000000002E-2</v>
      </c>
      <c r="E114" s="1" t="str">
        <f t="shared" si="0"/>
        <v>FGINX</v>
      </c>
    </row>
    <row r="115" spans="1:5" ht="14.25" customHeight="1" x14ac:dyDescent="0.25">
      <c r="A115" s="3">
        <v>39262</v>
      </c>
      <c r="B115" s="1">
        <v>12663</v>
      </c>
      <c r="C115" s="1">
        <v>812.6</v>
      </c>
      <c r="D115" s="1">
        <v>-1.4138E-2</v>
      </c>
      <c r="E115" s="1" t="str">
        <f t="shared" si="0"/>
        <v>FGINX</v>
      </c>
    </row>
    <row r="116" spans="1:5" ht="14.25" customHeight="1" x14ac:dyDescent="0.25">
      <c r="A116" s="3">
        <v>39294</v>
      </c>
      <c r="B116" s="1">
        <v>12663</v>
      </c>
      <c r="C116" s="1">
        <v>780.3</v>
      </c>
      <c r="D116" s="1">
        <v>-4.3756999999999997E-2</v>
      </c>
      <c r="E116" s="1" t="str">
        <f t="shared" si="0"/>
        <v>FGINX</v>
      </c>
    </row>
    <row r="117" spans="1:5" ht="14.25" customHeight="1" x14ac:dyDescent="0.25">
      <c r="A117" s="3">
        <v>39325</v>
      </c>
      <c r="B117" s="1">
        <v>12663</v>
      </c>
      <c r="C117" s="1">
        <v>786.3</v>
      </c>
      <c r="D117" s="1">
        <v>7.9319999999999998E-3</v>
      </c>
      <c r="E117" s="1" t="str">
        <f t="shared" si="0"/>
        <v>FGINX</v>
      </c>
    </row>
    <row r="118" spans="1:5" ht="14.25" customHeight="1" x14ac:dyDescent="0.25">
      <c r="A118" s="3">
        <v>39353</v>
      </c>
      <c r="B118" s="1">
        <v>12663</v>
      </c>
      <c r="C118" s="1">
        <v>807.3</v>
      </c>
      <c r="D118" s="1">
        <v>2.1453E-2</v>
      </c>
      <c r="E118" s="1" t="str">
        <f t="shared" si="0"/>
        <v>FGINX</v>
      </c>
    </row>
    <row r="119" spans="1:5" ht="14.25" customHeight="1" x14ac:dyDescent="0.25">
      <c r="A119" s="3">
        <v>39386</v>
      </c>
      <c r="B119" s="1">
        <v>12663</v>
      </c>
      <c r="C119" s="1">
        <v>819.8</v>
      </c>
      <c r="D119" s="1">
        <v>1.5421000000000001E-2</v>
      </c>
      <c r="E119" s="1" t="str">
        <f t="shared" si="0"/>
        <v>FGINX</v>
      </c>
    </row>
    <row r="120" spans="1:5" ht="14.25" customHeight="1" x14ac:dyDescent="0.25">
      <c r="A120" s="3">
        <v>39416</v>
      </c>
      <c r="B120" s="1">
        <v>12663</v>
      </c>
      <c r="C120" s="1">
        <v>778.1</v>
      </c>
      <c r="D120" s="1">
        <v>-5.1402000000000003E-2</v>
      </c>
      <c r="E120" s="1" t="str">
        <f t="shared" si="0"/>
        <v>FGINX</v>
      </c>
    </row>
    <row r="121" spans="1:5" ht="14.25" customHeight="1" x14ac:dyDescent="0.25">
      <c r="A121" s="3">
        <v>39447</v>
      </c>
      <c r="B121" s="1">
        <v>12663</v>
      </c>
      <c r="C121" s="1">
        <v>768.6</v>
      </c>
      <c r="D121" s="1">
        <v>-1.1547E-2</v>
      </c>
      <c r="E121" s="1" t="str">
        <f t="shared" si="0"/>
        <v>FGINX</v>
      </c>
    </row>
    <row r="122" spans="1:5" ht="14.25" customHeight="1" x14ac:dyDescent="0.25">
      <c r="A122" s="3">
        <v>39478</v>
      </c>
      <c r="B122" s="1">
        <v>12663</v>
      </c>
      <c r="C122" s="1">
        <v>716.8</v>
      </c>
      <c r="D122" s="1">
        <v>-6.0203E-2</v>
      </c>
      <c r="E122" s="1" t="str">
        <f t="shared" si="0"/>
        <v>FGINX</v>
      </c>
    </row>
    <row r="123" spans="1:5" ht="14.25" customHeight="1" x14ac:dyDescent="0.25">
      <c r="A123" s="3">
        <v>39507</v>
      </c>
      <c r="B123" s="1">
        <v>12663</v>
      </c>
      <c r="C123" s="1">
        <v>698.3</v>
      </c>
      <c r="D123" s="1">
        <v>-2.4948999999999999E-2</v>
      </c>
      <c r="E123" s="1" t="str">
        <f t="shared" si="0"/>
        <v>FGINX</v>
      </c>
    </row>
    <row r="124" spans="1:5" ht="14.25" customHeight="1" x14ac:dyDescent="0.25">
      <c r="A124" s="3">
        <v>39538</v>
      </c>
      <c r="B124" s="1">
        <v>12663</v>
      </c>
      <c r="C124" s="1">
        <v>691.6</v>
      </c>
      <c r="D124" s="1">
        <v>-7.0889999999999998E-3</v>
      </c>
      <c r="E124" s="1" t="str">
        <f t="shared" si="0"/>
        <v>FGINX</v>
      </c>
    </row>
    <row r="125" spans="1:5" ht="14.25" customHeight="1" x14ac:dyDescent="0.25">
      <c r="A125" s="3">
        <v>39568</v>
      </c>
      <c r="B125" s="1">
        <v>12663</v>
      </c>
      <c r="C125" s="1">
        <v>724</v>
      </c>
      <c r="D125" s="1">
        <v>4.3933E-2</v>
      </c>
      <c r="E125" s="1" t="str">
        <f t="shared" si="0"/>
        <v>FGINX</v>
      </c>
    </row>
    <row r="126" spans="1:5" ht="14.25" customHeight="1" x14ac:dyDescent="0.25">
      <c r="A126" s="3">
        <v>39598</v>
      </c>
      <c r="B126" s="1">
        <v>12663</v>
      </c>
      <c r="C126" s="1">
        <v>743.3</v>
      </c>
      <c r="D126" s="1">
        <v>2.9392000000000001E-2</v>
      </c>
      <c r="E126" s="1" t="str">
        <f t="shared" si="0"/>
        <v>FGINX</v>
      </c>
    </row>
    <row r="127" spans="1:5" ht="14.25" customHeight="1" x14ac:dyDescent="0.25">
      <c r="A127" s="3">
        <v>39629</v>
      </c>
      <c r="B127" s="1">
        <v>12663</v>
      </c>
      <c r="C127" s="1">
        <v>666.7</v>
      </c>
      <c r="D127" s="1">
        <v>-0.101233</v>
      </c>
      <c r="E127" s="1" t="str">
        <f t="shared" si="0"/>
        <v>FGINX</v>
      </c>
    </row>
    <row r="128" spans="1:5" ht="14.25" customHeight="1" x14ac:dyDescent="0.25">
      <c r="A128" s="3">
        <v>39660</v>
      </c>
      <c r="B128" s="1">
        <v>12663</v>
      </c>
      <c r="C128" s="1">
        <v>673.4</v>
      </c>
      <c r="D128" s="1">
        <v>1.2292000000000001E-2</v>
      </c>
      <c r="E128" s="1" t="str">
        <f t="shared" si="0"/>
        <v>FGINX</v>
      </c>
    </row>
    <row r="129" spans="1:5" ht="14.25" customHeight="1" x14ac:dyDescent="0.25">
      <c r="A129" s="3">
        <v>39689</v>
      </c>
      <c r="B129" s="1">
        <v>12663</v>
      </c>
      <c r="C129" s="1">
        <v>693.4</v>
      </c>
      <c r="D129" s="1">
        <v>3.1428999999999999E-2</v>
      </c>
      <c r="E129" s="1" t="str">
        <f t="shared" si="0"/>
        <v>FGINX</v>
      </c>
    </row>
    <row r="130" spans="1:5" ht="14.25" customHeight="1" x14ac:dyDescent="0.25">
      <c r="A130" s="3">
        <v>39721</v>
      </c>
      <c r="B130" s="1">
        <v>12663</v>
      </c>
      <c r="C130" s="1">
        <v>624</v>
      </c>
      <c r="D130" s="1">
        <v>-9.8337999999999995E-2</v>
      </c>
      <c r="E130" s="1" t="str">
        <f t="shared" si="0"/>
        <v>FGINX</v>
      </c>
    </row>
    <row r="131" spans="1:5" ht="14.25" customHeight="1" x14ac:dyDescent="0.25">
      <c r="A131" s="3">
        <v>39752</v>
      </c>
      <c r="B131" s="1">
        <v>12663</v>
      </c>
      <c r="C131" s="1">
        <v>502.8</v>
      </c>
      <c r="D131" s="1">
        <v>-0.18692300000000001</v>
      </c>
      <c r="E131" s="1" t="str">
        <f t="shared" si="0"/>
        <v>FGINX</v>
      </c>
    </row>
    <row r="132" spans="1:5" ht="14.25" customHeight="1" x14ac:dyDescent="0.25">
      <c r="A132" s="3">
        <v>39780</v>
      </c>
      <c r="B132" s="1">
        <v>12663</v>
      </c>
      <c r="C132" s="1">
        <v>464.2</v>
      </c>
      <c r="D132" s="1">
        <v>-7.6632000000000006E-2</v>
      </c>
      <c r="E132" s="1" t="str">
        <f t="shared" si="0"/>
        <v>FGINX</v>
      </c>
    </row>
    <row r="133" spans="1:5" ht="14.25" customHeight="1" x14ac:dyDescent="0.25">
      <c r="A133" s="3">
        <v>39813</v>
      </c>
      <c r="B133" s="1">
        <v>12663</v>
      </c>
      <c r="C133" s="1">
        <v>478.2</v>
      </c>
      <c r="D133" s="1">
        <v>3.2683999999999998E-2</v>
      </c>
      <c r="E133" s="1" t="str">
        <f t="shared" si="0"/>
        <v>FGINX</v>
      </c>
    </row>
    <row r="134" spans="1:5" ht="14.25" customHeight="1" x14ac:dyDescent="0.25">
      <c r="A134" s="3">
        <v>39843</v>
      </c>
      <c r="B134" s="1">
        <v>12663</v>
      </c>
      <c r="C134" s="1">
        <v>445.5</v>
      </c>
      <c r="D134" s="1">
        <v>-6.4385999999999999E-2</v>
      </c>
      <c r="E134" s="1" t="str">
        <f t="shared" si="0"/>
        <v>FGINX</v>
      </c>
    </row>
    <row r="135" spans="1:5" ht="14.25" customHeight="1" x14ac:dyDescent="0.25">
      <c r="A135" s="3">
        <v>39871</v>
      </c>
      <c r="B135" s="1">
        <v>12663</v>
      </c>
      <c r="C135" s="1">
        <v>397.3</v>
      </c>
      <c r="D135" s="1">
        <v>-0.105376</v>
      </c>
      <c r="E135" s="1" t="str">
        <f t="shared" si="0"/>
        <v>FGINX</v>
      </c>
    </row>
    <row r="136" spans="1:5" ht="14.25" customHeight="1" x14ac:dyDescent="0.25">
      <c r="A136" s="3">
        <v>39903</v>
      </c>
      <c r="B136" s="1">
        <v>12663</v>
      </c>
      <c r="C136" s="1">
        <v>424.9</v>
      </c>
      <c r="D136" s="1">
        <v>7.3316999999999993E-2</v>
      </c>
      <c r="E136" s="1" t="str">
        <f t="shared" si="0"/>
        <v>FGINX</v>
      </c>
    </row>
    <row r="137" spans="1:5" ht="14.25" customHeight="1" x14ac:dyDescent="0.25">
      <c r="A137" s="3">
        <v>39933</v>
      </c>
      <c r="B137" s="1">
        <v>12663</v>
      </c>
      <c r="C137" s="1">
        <v>471.3</v>
      </c>
      <c r="D137" s="1">
        <v>0.103024</v>
      </c>
      <c r="E137" s="1" t="str">
        <f t="shared" si="0"/>
        <v>FGINX</v>
      </c>
    </row>
    <row r="138" spans="1:5" ht="14.25" customHeight="1" x14ac:dyDescent="0.25">
      <c r="A138" s="3">
        <v>39962</v>
      </c>
      <c r="B138" s="1">
        <v>12663</v>
      </c>
      <c r="C138" s="1">
        <v>499.2</v>
      </c>
      <c r="D138" s="1">
        <v>5.6853000000000001E-2</v>
      </c>
      <c r="E138" s="1" t="str">
        <f t="shared" si="0"/>
        <v>FGINX</v>
      </c>
    </row>
    <row r="139" spans="1:5" ht="14.25" customHeight="1" x14ac:dyDescent="0.25">
      <c r="A139" s="3">
        <v>39994</v>
      </c>
      <c r="B139" s="1">
        <v>12663</v>
      </c>
      <c r="C139" s="1">
        <v>503</v>
      </c>
      <c r="D139" s="1">
        <v>2.7859999999999998E-3</v>
      </c>
      <c r="E139" s="1" t="str">
        <f t="shared" si="0"/>
        <v>FGINX</v>
      </c>
    </row>
    <row r="140" spans="1:5" ht="14.25" customHeight="1" x14ac:dyDescent="0.25">
      <c r="A140" s="3">
        <v>40025</v>
      </c>
      <c r="B140" s="1">
        <v>12663</v>
      </c>
      <c r="C140" s="1">
        <v>537</v>
      </c>
      <c r="D140" s="1">
        <v>6.6155000000000005E-2</v>
      </c>
      <c r="E140" s="1" t="str">
        <f t="shared" si="0"/>
        <v>FGINX</v>
      </c>
    </row>
    <row r="141" spans="1:5" ht="14.25" customHeight="1" x14ac:dyDescent="0.25">
      <c r="A141" s="3">
        <v>40056</v>
      </c>
      <c r="B141" s="1">
        <v>12663</v>
      </c>
      <c r="C141" s="1">
        <v>554.4</v>
      </c>
      <c r="D141" s="1">
        <v>2.9676000000000001E-2</v>
      </c>
      <c r="E141" s="1" t="str">
        <f t="shared" si="0"/>
        <v>FGINX</v>
      </c>
    </row>
    <row r="142" spans="1:5" ht="14.25" customHeight="1" x14ac:dyDescent="0.25">
      <c r="A142" s="3">
        <v>40086</v>
      </c>
      <c r="B142" s="1">
        <v>12663</v>
      </c>
      <c r="C142" s="1">
        <v>577.70000000000005</v>
      </c>
      <c r="D142" s="1">
        <v>4.1223000000000003E-2</v>
      </c>
      <c r="E142" s="1" t="str">
        <f t="shared" si="0"/>
        <v>FGINX</v>
      </c>
    </row>
    <row r="143" spans="1:5" ht="14.25" customHeight="1" x14ac:dyDescent="0.25">
      <c r="A143" s="3">
        <v>40116</v>
      </c>
      <c r="B143" s="1">
        <v>12663</v>
      </c>
      <c r="C143" s="1">
        <v>568.9</v>
      </c>
      <c r="D143" s="1">
        <v>-1.5952999999999998E-2</v>
      </c>
      <c r="E143" s="1" t="str">
        <f t="shared" si="0"/>
        <v>FGINX</v>
      </c>
    </row>
    <row r="144" spans="1:5" ht="14.25" customHeight="1" x14ac:dyDescent="0.25">
      <c r="A144" s="3">
        <v>40147</v>
      </c>
      <c r="B144" s="1">
        <v>12663</v>
      </c>
      <c r="C144" s="1">
        <v>594.70000000000005</v>
      </c>
      <c r="D144" s="1">
        <v>4.6074999999999998E-2</v>
      </c>
      <c r="E144" s="1" t="str">
        <f t="shared" si="0"/>
        <v>FGINX</v>
      </c>
    </row>
    <row r="145" spans="1:5" ht="14.25" customHeight="1" x14ac:dyDescent="0.25">
      <c r="A145" s="3">
        <v>40178</v>
      </c>
      <c r="B145" s="1">
        <v>12663</v>
      </c>
      <c r="C145" s="1">
        <v>613.9</v>
      </c>
      <c r="D145" s="1">
        <v>3.1158000000000002E-2</v>
      </c>
      <c r="E145" s="1" t="str">
        <f t="shared" si="0"/>
        <v>FGINX</v>
      </c>
    </row>
    <row r="146" spans="1:5" ht="14.25" customHeight="1" x14ac:dyDescent="0.25">
      <c r="A146" s="3">
        <v>40207</v>
      </c>
      <c r="B146" s="1">
        <v>12663</v>
      </c>
      <c r="C146" s="1">
        <v>593.9</v>
      </c>
      <c r="D146" s="1">
        <v>-3.1670999999999998E-2</v>
      </c>
      <c r="E146" s="1" t="str">
        <f t="shared" si="0"/>
        <v>FGINX</v>
      </c>
    </row>
    <row r="147" spans="1:5" ht="14.25" customHeight="1" x14ac:dyDescent="0.25">
      <c r="A147" s="3">
        <v>40235</v>
      </c>
      <c r="B147" s="1">
        <v>12663</v>
      </c>
      <c r="C147" s="1">
        <v>612.6</v>
      </c>
      <c r="D147" s="1">
        <v>3.1071000000000001E-2</v>
      </c>
      <c r="E147" s="1" t="str">
        <f t="shared" si="0"/>
        <v>FGINX</v>
      </c>
    </row>
    <row r="148" spans="1:5" ht="14.25" customHeight="1" x14ac:dyDescent="0.25">
      <c r="A148" s="3">
        <v>40268</v>
      </c>
      <c r="B148" s="1">
        <v>12663</v>
      </c>
      <c r="C148" s="1">
        <v>650.79999999999995</v>
      </c>
      <c r="D148" s="1">
        <v>6.1459E-2</v>
      </c>
      <c r="E148" s="1" t="str">
        <f t="shared" si="0"/>
        <v>FGINX</v>
      </c>
    </row>
    <row r="149" spans="1:5" ht="14.25" customHeight="1" x14ac:dyDescent="0.25">
      <c r="A149" s="3">
        <v>40298</v>
      </c>
      <c r="B149" s="1">
        <v>12663</v>
      </c>
      <c r="C149" s="1">
        <v>664.8</v>
      </c>
      <c r="D149" s="1">
        <v>2.0941999999999999E-2</v>
      </c>
      <c r="E149" s="1" t="str">
        <f t="shared" si="0"/>
        <v>FGINX</v>
      </c>
    </row>
    <row r="150" spans="1:5" ht="14.25" customHeight="1" x14ac:dyDescent="0.25">
      <c r="A150" s="3">
        <v>40326</v>
      </c>
      <c r="B150" s="1">
        <v>12663</v>
      </c>
      <c r="C150" s="1">
        <v>607.79999999999995</v>
      </c>
      <c r="D150" s="1">
        <v>-8.4249000000000004E-2</v>
      </c>
      <c r="E150" s="1" t="str">
        <f t="shared" si="0"/>
        <v>FGINX</v>
      </c>
    </row>
    <row r="151" spans="1:5" ht="14.25" customHeight="1" x14ac:dyDescent="0.25">
      <c r="A151" s="3">
        <v>40359</v>
      </c>
      <c r="B151" s="1">
        <v>12663</v>
      </c>
      <c r="C151" s="1">
        <v>569</v>
      </c>
      <c r="D151" s="1">
        <v>-6.4799999999999996E-2</v>
      </c>
      <c r="E151" s="1" t="str">
        <f t="shared" si="0"/>
        <v>FGINX</v>
      </c>
    </row>
    <row r="152" spans="1:5" ht="14.25" customHeight="1" x14ac:dyDescent="0.25">
      <c r="A152" s="3">
        <v>40389</v>
      </c>
      <c r="B152" s="1">
        <v>12663</v>
      </c>
      <c r="C152" s="1">
        <v>610.4</v>
      </c>
      <c r="D152" s="1">
        <v>7.5407000000000002E-2</v>
      </c>
      <c r="E152" s="1" t="str">
        <f t="shared" si="0"/>
        <v>FGINX</v>
      </c>
    </row>
    <row r="153" spans="1:5" ht="14.25" customHeight="1" x14ac:dyDescent="0.25">
      <c r="A153" s="3">
        <v>40421</v>
      </c>
      <c r="B153" s="1">
        <v>12663</v>
      </c>
      <c r="C153" s="1">
        <v>573.20000000000005</v>
      </c>
      <c r="D153" s="1">
        <v>-5.8167000000000003E-2</v>
      </c>
      <c r="E153" s="1" t="str">
        <f t="shared" si="0"/>
        <v>FGINX</v>
      </c>
    </row>
    <row r="154" spans="1:5" ht="14.25" customHeight="1" x14ac:dyDescent="0.25">
      <c r="A154" s="3">
        <v>40451</v>
      </c>
      <c r="B154" s="1">
        <v>12663</v>
      </c>
      <c r="C154" s="1">
        <v>626.29999999999995</v>
      </c>
      <c r="D154" s="1">
        <v>9.4246999999999997E-2</v>
      </c>
      <c r="E154" s="1" t="str">
        <f t="shared" si="0"/>
        <v>FGINX</v>
      </c>
    </row>
    <row r="155" spans="1:5" ht="14.25" customHeight="1" x14ac:dyDescent="0.25">
      <c r="A155" s="3">
        <v>40480</v>
      </c>
      <c r="B155" s="1">
        <v>12663</v>
      </c>
      <c r="C155" s="1">
        <v>647.20000000000005</v>
      </c>
      <c r="D155" s="1">
        <v>3.3307999999999997E-2</v>
      </c>
      <c r="E155" s="1" t="str">
        <f t="shared" si="0"/>
        <v>FGINX</v>
      </c>
    </row>
    <row r="156" spans="1:5" ht="14.25" customHeight="1" x14ac:dyDescent="0.25">
      <c r="A156" s="3">
        <v>40512</v>
      </c>
      <c r="B156" s="1">
        <v>12663</v>
      </c>
      <c r="C156" s="1">
        <v>653.1</v>
      </c>
      <c r="D156" s="1">
        <v>9.7450000000000002E-3</v>
      </c>
      <c r="E156" s="1" t="str">
        <f t="shared" si="0"/>
        <v>FGINX</v>
      </c>
    </row>
    <row r="157" spans="1:5" ht="14.25" customHeight="1" x14ac:dyDescent="0.25">
      <c r="A157" s="3">
        <v>40543</v>
      </c>
      <c r="B157" s="1">
        <v>12663</v>
      </c>
      <c r="C157" s="1">
        <v>700.3</v>
      </c>
      <c r="D157" s="1">
        <v>7.2709999999999997E-2</v>
      </c>
      <c r="E157" s="1" t="str">
        <f t="shared" si="0"/>
        <v>FGINX</v>
      </c>
    </row>
    <row r="158" spans="1:5" ht="14.25" customHeight="1" x14ac:dyDescent="0.25">
      <c r="A158" s="3">
        <v>40574</v>
      </c>
      <c r="B158" s="1">
        <v>12663</v>
      </c>
      <c r="C158" s="1">
        <v>711.3</v>
      </c>
      <c r="D158" s="1">
        <v>1.6736000000000001E-2</v>
      </c>
      <c r="E158" s="1" t="str">
        <f t="shared" si="0"/>
        <v>FGINX</v>
      </c>
    </row>
    <row r="159" spans="1:5" ht="14.25" customHeight="1" x14ac:dyDescent="0.25">
      <c r="A159" s="3">
        <v>40602</v>
      </c>
      <c r="B159" s="1">
        <v>12663</v>
      </c>
      <c r="C159" s="1">
        <v>740.9</v>
      </c>
      <c r="D159" s="1">
        <v>4.0466000000000002E-2</v>
      </c>
      <c r="E159" s="1" t="str">
        <f t="shared" si="0"/>
        <v>FGINX</v>
      </c>
    </row>
    <row r="160" spans="1:5" ht="14.25" customHeight="1" x14ac:dyDescent="0.25">
      <c r="A160" s="3">
        <v>40633</v>
      </c>
      <c r="B160" s="1">
        <v>12663</v>
      </c>
      <c r="C160" s="1">
        <v>746.7</v>
      </c>
      <c r="D160" s="1">
        <v>6.1960000000000001E-3</v>
      </c>
      <c r="E160" s="1" t="str">
        <f t="shared" si="0"/>
        <v>FGINX</v>
      </c>
    </row>
    <row r="161" spans="1:5" ht="14.25" customHeight="1" x14ac:dyDescent="0.25">
      <c r="A161" s="3">
        <v>40662</v>
      </c>
      <c r="B161" s="1">
        <v>12663</v>
      </c>
      <c r="C161" s="1">
        <v>775.1</v>
      </c>
      <c r="D161" s="1">
        <v>3.6089000000000003E-2</v>
      </c>
      <c r="E161" s="1" t="str">
        <f t="shared" si="0"/>
        <v>FGINX</v>
      </c>
    </row>
    <row r="162" spans="1:5" ht="14.25" customHeight="1" x14ac:dyDescent="0.25">
      <c r="A162" s="3">
        <v>40694</v>
      </c>
      <c r="B162" s="1">
        <v>12663</v>
      </c>
      <c r="C162" s="1">
        <v>768.5</v>
      </c>
      <c r="D162" s="1">
        <v>-6.3330000000000001E-3</v>
      </c>
      <c r="E162" s="1" t="str">
        <f t="shared" si="0"/>
        <v>FGINX</v>
      </c>
    </row>
    <row r="163" spans="1:5" ht="14.25" customHeight="1" x14ac:dyDescent="0.25">
      <c r="A163" s="3">
        <v>40724</v>
      </c>
      <c r="B163" s="1">
        <v>12663</v>
      </c>
      <c r="C163" s="1">
        <v>759.9</v>
      </c>
      <c r="D163" s="1">
        <v>-8.6680000000000004E-3</v>
      </c>
      <c r="E163" s="1" t="str">
        <f t="shared" si="0"/>
        <v>FGINX</v>
      </c>
    </row>
    <row r="164" spans="1:5" ht="14.25" customHeight="1" x14ac:dyDescent="0.25">
      <c r="A164" s="3">
        <v>40753</v>
      </c>
      <c r="B164" s="1">
        <v>12663</v>
      </c>
      <c r="C164" s="1">
        <v>732.2</v>
      </c>
      <c r="D164" s="1">
        <v>-3.4771000000000003E-2</v>
      </c>
      <c r="E164" s="1" t="str">
        <f t="shared" si="0"/>
        <v>FGINX</v>
      </c>
    </row>
    <row r="165" spans="1:5" ht="14.25" customHeight="1" x14ac:dyDescent="0.25">
      <c r="A165" s="3">
        <v>40786</v>
      </c>
      <c r="B165" s="1">
        <v>12663</v>
      </c>
      <c r="C165" s="1">
        <v>678.8</v>
      </c>
      <c r="D165" s="1">
        <v>-7.1381E-2</v>
      </c>
      <c r="E165" s="1" t="str">
        <f t="shared" si="0"/>
        <v>FGINX</v>
      </c>
    </row>
    <row r="166" spans="1:5" ht="14.25" customHeight="1" x14ac:dyDescent="0.25">
      <c r="A166" s="3">
        <v>40816</v>
      </c>
      <c r="B166" s="1">
        <v>12663</v>
      </c>
      <c r="C166" s="1">
        <v>625.5</v>
      </c>
      <c r="D166" s="1">
        <v>-8.0171999999999993E-2</v>
      </c>
      <c r="E166" s="1" t="str">
        <f t="shared" si="0"/>
        <v>FGINX</v>
      </c>
    </row>
    <row r="167" spans="1:5" ht="14.25" customHeight="1" x14ac:dyDescent="0.25">
      <c r="A167" s="3">
        <v>40847</v>
      </c>
      <c r="B167" s="1">
        <v>12663</v>
      </c>
      <c r="C167" s="1">
        <v>702.3</v>
      </c>
      <c r="D167" s="1">
        <v>0.122848</v>
      </c>
      <c r="E167" s="1" t="str">
        <f t="shared" si="0"/>
        <v>FGINX</v>
      </c>
    </row>
    <row r="168" spans="1:5" ht="14.25" customHeight="1" x14ac:dyDescent="0.25">
      <c r="A168" s="3">
        <v>40877</v>
      </c>
      <c r="B168" s="1">
        <v>12663</v>
      </c>
      <c r="C168" s="1">
        <v>705.1</v>
      </c>
      <c r="D168" s="1">
        <v>2.4359999999999998E-3</v>
      </c>
      <c r="E168" s="1" t="str">
        <f t="shared" si="0"/>
        <v>FGINX</v>
      </c>
    </row>
    <row r="169" spans="1:5" ht="14.25" customHeight="1" x14ac:dyDescent="0.25">
      <c r="A169" s="3">
        <v>40907</v>
      </c>
      <c r="B169" s="1">
        <v>12663</v>
      </c>
      <c r="C169" s="1">
        <v>1076</v>
      </c>
      <c r="D169" s="1">
        <v>8.2030000000000002E-3</v>
      </c>
      <c r="E169" s="1" t="str">
        <f t="shared" si="0"/>
        <v>FGINX</v>
      </c>
    </row>
    <row r="170" spans="1:5" ht="14.25" customHeight="1" x14ac:dyDescent="0.25">
      <c r="A170" s="3">
        <v>40939</v>
      </c>
      <c r="B170" s="1">
        <v>12663</v>
      </c>
      <c r="C170" s="1">
        <v>1133.5</v>
      </c>
      <c r="D170" s="1">
        <v>5.8212E-2</v>
      </c>
      <c r="E170" s="1" t="str">
        <f t="shared" si="0"/>
        <v>FGINX</v>
      </c>
    </row>
    <row r="171" spans="1:5" ht="14.25" customHeight="1" x14ac:dyDescent="0.25">
      <c r="A171" s="3">
        <v>40968</v>
      </c>
      <c r="B171" s="1">
        <v>12663</v>
      </c>
      <c r="C171" s="1">
        <v>1186</v>
      </c>
      <c r="D171" s="1">
        <v>4.8460999999999997E-2</v>
      </c>
      <c r="E171" s="1" t="str">
        <f t="shared" si="0"/>
        <v>FGINX</v>
      </c>
    </row>
    <row r="172" spans="1:5" ht="14.25" customHeight="1" x14ac:dyDescent="0.25">
      <c r="A172" s="3">
        <v>40998</v>
      </c>
      <c r="B172" s="1">
        <v>12663</v>
      </c>
      <c r="C172" s="1">
        <v>1218.4000000000001</v>
      </c>
      <c r="D172" s="1">
        <v>2.8357E-2</v>
      </c>
      <c r="E172" s="1" t="str">
        <f t="shared" si="0"/>
        <v>FGINX</v>
      </c>
    </row>
    <row r="173" spans="1:5" ht="14.25" customHeight="1" x14ac:dyDescent="0.25">
      <c r="A173" s="3">
        <v>41029</v>
      </c>
      <c r="B173" s="1">
        <v>12663</v>
      </c>
      <c r="C173" s="1">
        <v>1216.8</v>
      </c>
      <c r="D173" s="1">
        <v>-1.217E-3</v>
      </c>
      <c r="E173" s="1" t="str">
        <f t="shared" si="0"/>
        <v>FGINX</v>
      </c>
    </row>
    <row r="174" spans="1:5" ht="14.25" customHeight="1" x14ac:dyDescent="0.25">
      <c r="A174" s="3">
        <v>41060</v>
      </c>
      <c r="B174" s="1">
        <v>12663</v>
      </c>
      <c r="C174" s="1">
        <v>1123.2</v>
      </c>
      <c r="D174" s="1">
        <v>-7.4909000000000003E-2</v>
      </c>
      <c r="E174" s="1" t="str">
        <f t="shared" si="0"/>
        <v>FGINX</v>
      </c>
    </row>
    <row r="175" spans="1:5" ht="14.25" customHeight="1" x14ac:dyDescent="0.25">
      <c r="A175" s="3">
        <v>41089</v>
      </c>
      <c r="B175" s="1">
        <v>12663</v>
      </c>
      <c r="C175" s="1">
        <v>1158.5</v>
      </c>
      <c r="D175" s="1">
        <v>3.3180000000000001E-2</v>
      </c>
      <c r="E175" s="1" t="str">
        <f t="shared" si="0"/>
        <v>FGINX</v>
      </c>
    </row>
    <row r="176" spans="1:5" ht="14.25" customHeight="1" x14ac:dyDescent="0.25">
      <c r="A176" s="3">
        <v>41121</v>
      </c>
      <c r="B176" s="1">
        <v>12663</v>
      </c>
      <c r="C176" s="1">
        <v>1180.2</v>
      </c>
      <c r="D176" s="1">
        <v>2.1059000000000001E-2</v>
      </c>
      <c r="E176" s="1" t="str">
        <f t="shared" si="0"/>
        <v>FGINX</v>
      </c>
    </row>
    <row r="177" spans="1:5" ht="14.25" customHeight="1" x14ac:dyDescent="0.25">
      <c r="A177" s="3">
        <v>41152</v>
      </c>
      <c r="B177" s="1">
        <v>12663</v>
      </c>
      <c r="C177" s="1">
        <v>1202.8</v>
      </c>
      <c r="D177" s="1">
        <v>2.1874999999999999E-2</v>
      </c>
      <c r="E177" s="1" t="str">
        <f t="shared" si="0"/>
        <v>FGINX</v>
      </c>
    </row>
    <row r="178" spans="1:5" ht="14.25" customHeight="1" x14ac:dyDescent="0.25">
      <c r="A178" s="3">
        <v>41180</v>
      </c>
      <c r="B178" s="1">
        <v>12663</v>
      </c>
      <c r="C178" s="1">
        <v>1225.8</v>
      </c>
      <c r="D178" s="1">
        <v>2.0428000000000002E-2</v>
      </c>
      <c r="E178" s="1" t="str">
        <f t="shared" si="0"/>
        <v>FGINX</v>
      </c>
    </row>
    <row r="179" spans="1:5" ht="14.25" customHeight="1" x14ac:dyDescent="0.25">
      <c r="A179" s="3">
        <v>41213</v>
      </c>
      <c r="B179" s="1">
        <v>12663</v>
      </c>
      <c r="C179" s="1">
        <v>1207</v>
      </c>
      <c r="D179" s="1">
        <v>-1.5606E-2</v>
      </c>
      <c r="E179" s="1" t="str">
        <f t="shared" si="0"/>
        <v>FGINX</v>
      </c>
    </row>
    <row r="180" spans="1:5" ht="14.25" customHeight="1" x14ac:dyDescent="0.25">
      <c r="A180" s="3">
        <v>41243</v>
      </c>
      <c r="B180" s="1">
        <v>12663</v>
      </c>
      <c r="C180" s="1">
        <v>1221.8</v>
      </c>
      <c r="D180" s="1">
        <v>1.2805E-2</v>
      </c>
      <c r="E180" s="1" t="str">
        <f t="shared" si="0"/>
        <v>FGINX</v>
      </c>
    </row>
    <row r="181" spans="1:5" ht="14.25" customHeight="1" x14ac:dyDescent="0.25">
      <c r="A181" s="3">
        <v>41274</v>
      </c>
      <c r="B181" s="1">
        <v>12663</v>
      </c>
      <c r="C181" s="1">
        <v>1234.4000000000001</v>
      </c>
      <c r="D181" s="1">
        <v>1.0155000000000001E-2</v>
      </c>
      <c r="E181" s="1" t="str">
        <f t="shared" si="0"/>
        <v>FGINX</v>
      </c>
    </row>
    <row r="182" spans="1:5" ht="14.25" customHeight="1" x14ac:dyDescent="0.25">
      <c r="A182" s="3">
        <v>41305</v>
      </c>
      <c r="B182" s="1">
        <v>12663</v>
      </c>
      <c r="C182" s="1">
        <v>1306</v>
      </c>
      <c r="D182" s="1">
        <v>6.0095999999999997E-2</v>
      </c>
      <c r="E182" s="1" t="str">
        <f t="shared" si="0"/>
        <v>FGINX</v>
      </c>
    </row>
    <row r="183" spans="1:5" ht="14.25" customHeight="1" x14ac:dyDescent="0.25">
      <c r="A183" s="3">
        <v>41333</v>
      </c>
      <c r="B183" s="1">
        <v>12663</v>
      </c>
      <c r="C183" s="1">
        <v>1324</v>
      </c>
      <c r="D183" s="1">
        <v>1.4172000000000001E-2</v>
      </c>
      <c r="E183" s="1" t="str">
        <f t="shared" si="0"/>
        <v>FGINX</v>
      </c>
    </row>
    <row r="184" spans="1:5" ht="14.25" customHeight="1" x14ac:dyDescent="0.25">
      <c r="A184" s="3">
        <v>41361</v>
      </c>
      <c r="B184" s="1">
        <v>12663</v>
      </c>
      <c r="C184" s="1">
        <v>1380.2</v>
      </c>
      <c r="D184" s="1">
        <v>4.2202000000000003E-2</v>
      </c>
      <c r="E184" s="1" t="str">
        <f t="shared" si="0"/>
        <v>FGINX</v>
      </c>
    </row>
    <row r="185" spans="1:5" ht="14.25" customHeight="1" x14ac:dyDescent="0.25">
      <c r="A185" s="3">
        <v>41394</v>
      </c>
      <c r="B185" s="1">
        <v>12663</v>
      </c>
      <c r="C185" s="1">
        <v>1396.3</v>
      </c>
      <c r="D185" s="1">
        <v>1.1815000000000001E-2</v>
      </c>
      <c r="E185" s="1" t="str">
        <f t="shared" si="0"/>
        <v>FGINX</v>
      </c>
    </row>
    <row r="186" spans="1:5" ht="14.25" customHeight="1" x14ac:dyDescent="0.25">
      <c r="A186" s="3">
        <v>41425</v>
      </c>
      <c r="B186" s="1">
        <v>12663</v>
      </c>
      <c r="C186" s="1">
        <v>1444.8</v>
      </c>
      <c r="D186" s="1">
        <v>3.5562999999999997E-2</v>
      </c>
      <c r="E186" s="1" t="str">
        <f t="shared" si="0"/>
        <v>FGINX</v>
      </c>
    </row>
    <row r="187" spans="1:5" ht="14.25" customHeight="1" x14ac:dyDescent="0.25">
      <c r="A187" s="3">
        <v>41453</v>
      </c>
      <c r="B187" s="1">
        <v>12663</v>
      </c>
      <c r="C187" s="1">
        <v>1432.1</v>
      </c>
      <c r="D187" s="1">
        <v>-1.1276E-2</v>
      </c>
      <c r="E187" s="1" t="str">
        <f t="shared" si="0"/>
        <v>FGINX</v>
      </c>
    </row>
    <row r="188" spans="1:5" ht="14.25" customHeight="1" x14ac:dyDescent="0.25">
      <c r="A188" s="3">
        <v>41486</v>
      </c>
      <c r="B188" s="1">
        <v>12663</v>
      </c>
      <c r="C188" s="1">
        <v>1524.3</v>
      </c>
      <c r="D188" s="1">
        <v>6.2304999999999999E-2</v>
      </c>
      <c r="E188" s="1" t="str">
        <f t="shared" si="0"/>
        <v>FGINX</v>
      </c>
    </row>
    <row r="189" spans="1:5" ht="14.25" customHeight="1" x14ac:dyDescent="0.25">
      <c r="A189" s="3">
        <v>41516</v>
      </c>
      <c r="B189" s="1">
        <v>12663</v>
      </c>
      <c r="C189" s="1">
        <v>1485.8</v>
      </c>
      <c r="D189" s="1">
        <v>-2.5904E-2</v>
      </c>
      <c r="E189" s="1" t="str">
        <f t="shared" si="0"/>
        <v>FGINX</v>
      </c>
    </row>
    <row r="190" spans="1:5" ht="14.25" customHeight="1" x14ac:dyDescent="0.25">
      <c r="A190" s="3">
        <v>41547</v>
      </c>
      <c r="B190" s="1">
        <v>12663</v>
      </c>
      <c r="C190" s="1">
        <v>1537.9</v>
      </c>
      <c r="D190" s="1">
        <v>3.2112000000000002E-2</v>
      </c>
      <c r="E190" s="1" t="str">
        <f t="shared" si="0"/>
        <v>FGINX</v>
      </c>
    </row>
    <row r="191" spans="1:5" ht="14.25" customHeight="1" x14ac:dyDescent="0.25">
      <c r="A191" s="3">
        <v>41578</v>
      </c>
      <c r="B191" s="1">
        <v>12663</v>
      </c>
      <c r="C191" s="1">
        <v>1600.7</v>
      </c>
      <c r="D191" s="1">
        <v>4.1383000000000003E-2</v>
      </c>
      <c r="E191" s="1" t="str">
        <f t="shared" si="0"/>
        <v>FGINX</v>
      </c>
    </row>
    <row r="192" spans="1:5" ht="14.25" customHeight="1" x14ac:dyDescent="0.25">
      <c r="A192" s="3">
        <v>41607</v>
      </c>
      <c r="B192" s="1">
        <v>12663</v>
      </c>
      <c r="C192" s="1">
        <v>1655.2</v>
      </c>
      <c r="D192" s="1">
        <v>3.0387999999999998E-2</v>
      </c>
      <c r="E192" s="1" t="str">
        <f t="shared" si="0"/>
        <v>FGINX</v>
      </c>
    </row>
    <row r="193" spans="1:5" ht="14.25" customHeight="1" x14ac:dyDescent="0.25">
      <c r="A193" s="3">
        <v>41639</v>
      </c>
      <c r="B193" s="1">
        <v>12663</v>
      </c>
      <c r="C193" s="1">
        <v>1713.2</v>
      </c>
      <c r="D193" s="1">
        <v>3.0457000000000001E-2</v>
      </c>
      <c r="E193" s="1" t="str">
        <f t="shared" si="0"/>
        <v>FGINX</v>
      </c>
    </row>
    <row r="194" spans="1:5" ht="14.25" customHeight="1" x14ac:dyDescent="0.25">
      <c r="A194" s="3">
        <v>41670</v>
      </c>
      <c r="B194" s="1">
        <v>12663</v>
      </c>
      <c r="C194" s="1">
        <v>1624.2</v>
      </c>
      <c r="D194" s="1">
        <v>-5.1984000000000002E-2</v>
      </c>
      <c r="E194" s="1" t="str">
        <f t="shared" si="0"/>
        <v>FGINX</v>
      </c>
    </row>
    <row r="195" spans="1:5" ht="14.25" customHeight="1" x14ac:dyDescent="0.25">
      <c r="A195" s="3">
        <v>41698</v>
      </c>
      <c r="B195" s="1">
        <v>12663</v>
      </c>
      <c r="C195" s="1">
        <v>1706.8</v>
      </c>
      <c r="D195" s="1">
        <v>4.9542999999999997E-2</v>
      </c>
      <c r="E195" s="1" t="str">
        <f t="shared" si="0"/>
        <v>FGINX</v>
      </c>
    </row>
    <row r="196" spans="1:5" ht="14.25" customHeight="1" x14ac:dyDescent="0.25">
      <c r="A196" s="3">
        <v>41729</v>
      </c>
      <c r="B196" s="1">
        <v>12663</v>
      </c>
      <c r="C196" s="1">
        <v>1702.5</v>
      </c>
      <c r="D196" s="1">
        <v>6.0949999999999997E-3</v>
      </c>
      <c r="E196" s="1" t="str">
        <f t="shared" si="0"/>
        <v>FGINX</v>
      </c>
    </row>
    <row r="197" spans="1:5" ht="14.25" customHeight="1" x14ac:dyDescent="0.25">
      <c r="A197" s="3">
        <v>41759</v>
      </c>
      <c r="B197" s="1">
        <v>12663</v>
      </c>
      <c r="C197" s="1">
        <v>1610.6</v>
      </c>
      <c r="D197" s="1">
        <v>3.65E-3</v>
      </c>
      <c r="E197" s="1" t="str">
        <f t="shared" si="0"/>
        <v>FGINX</v>
      </c>
    </row>
    <row r="198" spans="1:5" ht="14.25" customHeight="1" x14ac:dyDescent="0.25">
      <c r="A198" s="3">
        <v>41789</v>
      </c>
      <c r="B198" s="1">
        <v>12663</v>
      </c>
      <c r="C198" s="1">
        <v>1640.2</v>
      </c>
      <c r="D198" s="1">
        <v>2.1364000000000001E-2</v>
      </c>
      <c r="E198" s="1" t="str">
        <f t="shared" si="0"/>
        <v>FGINX</v>
      </c>
    </row>
    <row r="199" spans="1:5" ht="14.25" customHeight="1" x14ac:dyDescent="0.25">
      <c r="A199" s="3">
        <v>41820</v>
      </c>
      <c r="B199" s="1">
        <v>12663</v>
      </c>
      <c r="C199" s="1">
        <v>1673.3</v>
      </c>
      <c r="D199" s="1">
        <v>2.4166E-2</v>
      </c>
      <c r="E199" s="1" t="str">
        <f t="shared" si="0"/>
        <v>FGINX</v>
      </c>
    </row>
    <row r="200" spans="1:5" ht="14.25" customHeight="1" x14ac:dyDescent="0.25">
      <c r="A200" s="3">
        <v>41851</v>
      </c>
      <c r="B200" s="1">
        <v>12663</v>
      </c>
      <c r="C200" s="1">
        <v>1632.5</v>
      </c>
      <c r="D200" s="1">
        <v>-1.8277000000000002E-2</v>
      </c>
      <c r="E200" s="1" t="str">
        <f t="shared" si="0"/>
        <v>FGINX</v>
      </c>
    </row>
    <row r="201" spans="1:5" ht="14.25" customHeight="1" x14ac:dyDescent="0.25">
      <c r="A201" s="3">
        <v>41880</v>
      </c>
      <c r="B201" s="1">
        <v>12663</v>
      </c>
      <c r="C201" s="1">
        <v>1691.7</v>
      </c>
      <c r="D201" s="1">
        <v>4.2110000000000002E-2</v>
      </c>
      <c r="E201" s="1" t="str">
        <f t="shared" si="0"/>
        <v>FGINX</v>
      </c>
    </row>
    <row r="202" spans="1:5" ht="14.25" customHeight="1" x14ac:dyDescent="0.25">
      <c r="A202" s="3">
        <v>41912</v>
      </c>
      <c r="B202" s="1">
        <v>12663</v>
      </c>
      <c r="C202" s="1">
        <v>1633.3</v>
      </c>
      <c r="D202" s="1">
        <v>-3.0498000000000001E-2</v>
      </c>
      <c r="E202" s="1" t="str">
        <f t="shared" si="0"/>
        <v>FGINX</v>
      </c>
    </row>
    <row r="203" spans="1:5" ht="14.25" customHeight="1" x14ac:dyDescent="0.25">
      <c r="A203" s="3">
        <v>41943</v>
      </c>
      <c r="B203" s="1">
        <v>12663</v>
      </c>
      <c r="C203" s="1">
        <v>1656</v>
      </c>
      <c r="D203" s="1">
        <v>1.6695999999999999E-2</v>
      </c>
      <c r="E203" s="1" t="str">
        <f t="shared" si="0"/>
        <v>FGINX</v>
      </c>
    </row>
    <row r="204" spans="1:5" ht="14.25" customHeight="1" x14ac:dyDescent="0.25">
      <c r="A204" s="3">
        <v>41971</v>
      </c>
      <c r="B204" s="1">
        <v>12663</v>
      </c>
      <c r="C204" s="1">
        <v>1676.3</v>
      </c>
      <c r="D204" s="1">
        <v>1.5557E-2</v>
      </c>
      <c r="E204" s="1" t="str">
        <f t="shared" si="0"/>
        <v>FGINX</v>
      </c>
    </row>
    <row r="205" spans="1:5" ht="14.25" customHeight="1" x14ac:dyDescent="0.25">
      <c r="A205" s="3">
        <v>42004</v>
      </c>
      <c r="B205" s="1">
        <v>12663</v>
      </c>
      <c r="C205" s="1">
        <v>1668.6</v>
      </c>
      <c r="D205" s="1">
        <v>-3.8930000000000002E-3</v>
      </c>
      <c r="E205" s="1" t="str">
        <f t="shared" si="0"/>
        <v>FGINX</v>
      </c>
    </row>
    <row r="206" spans="1:5" ht="14.25" customHeight="1" x14ac:dyDescent="0.25">
      <c r="A206" s="3">
        <v>42034</v>
      </c>
      <c r="B206" s="1">
        <v>12663</v>
      </c>
      <c r="C206" s="1">
        <v>1616.6</v>
      </c>
      <c r="D206" s="1">
        <v>-2.8725000000000001E-2</v>
      </c>
      <c r="E206" s="1" t="str">
        <f t="shared" si="0"/>
        <v>FGINX</v>
      </c>
    </row>
    <row r="207" spans="1:5" ht="14.25" customHeight="1" x14ac:dyDescent="0.25">
      <c r="A207" s="3">
        <v>42062</v>
      </c>
      <c r="B207" s="1">
        <v>12663</v>
      </c>
      <c r="C207" s="1">
        <v>1724.6</v>
      </c>
      <c r="D207" s="1">
        <v>6.8853999999999999E-2</v>
      </c>
      <c r="E207" s="1" t="str">
        <f t="shared" si="0"/>
        <v>FGINX</v>
      </c>
    </row>
    <row r="208" spans="1:5" ht="14.25" customHeight="1" x14ac:dyDescent="0.25">
      <c r="A208" s="3">
        <v>42094</v>
      </c>
      <c r="B208" s="1">
        <v>12663</v>
      </c>
      <c r="C208" s="1">
        <v>1700.6</v>
      </c>
      <c r="D208" s="1">
        <v>-1.1535E-2</v>
      </c>
      <c r="E208" s="1" t="str">
        <f t="shared" si="0"/>
        <v>FGINX</v>
      </c>
    </row>
    <row r="209" spans="1:5" ht="14.25" customHeight="1" x14ac:dyDescent="0.25">
      <c r="A209" s="3">
        <v>42124</v>
      </c>
      <c r="B209" s="1">
        <v>12663</v>
      </c>
      <c r="C209" s="1">
        <v>1705.4</v>
      </c>
      <c r="D209" s="1">
        <v>5.6940000000000003E-3</v>
      </c>
      <c r="E209" s="1" t="str">
        <f t="shared" si="0"/>
        <v>FGINX</v>
      </c>
    </row>
    <row r="210" spans="1:5" ht="14.25" customHeight="1" x14ac:dyDescent="0.25">
      <c r="A210" s="3">
        <v>42153</v>
      </c>
      <c r="B210" s="1">
        <v>12663</v>
      </c>
      <c r="C210" s="1">
        <v>1742.8</v>
      </c>
      <c r="D210" s="1">
        <v>2.4389999999999998E-2</v>
      </c>
      <c r="E210" s="1" t="str">
        <f t="shared" si="0"/>
        <v>FGINX</v>
      </c>
    </row>
    <row r="211" spans="1:5" ht="14.25" customHeight="1" x14ac:dyDescent="0.25">
      <c r="A211" s="3">
        <v>42185</v>
      </c>
      <c r="B211" s="1">
        <v>12663</v>
      </c>
      <c r="C211" s="1">
        <v>1680.7</v>
      </c>
      <c r="D211" s="1">
        <v>-3.2981000000000003E-2</v>
      </c>
      <c r="E211" s="1" t="str">
        <f t="shared" si="0"/>
        <v>FGINX</v>
      </c>
    </row>
    <row r="212" spans="1:5" ht="14.25" customHeight="1" x14ac:dyDescent="0.25">
      <c r="A212" s="3">
        <v>42216</v>
      </c>
      <c r="B212" s="1">
        <v>12663</v>
      </c>
      <c r="C212" s="1">
        <v>1660.8</v>
      </c>
      <c r="D212" s="1">
        <v>-7.4859999999999996E-3</v>
      </c>
      <c r="E212" s="1" t="str">
        <f t="shared" si="0"/>
        <v>FGINX</v>
      </c>
    </row>
    <row r="213" spans="1:5" ht="14.25" customHeight="1" x14ac:dyDescent="0.25">
      <c r="A213" s="3">
        <v>42247</v>
      </c>
      <c r="B213" s="1">
        <v>12663</v>
      </c>
      <c r="C213" s="1">
        <v>1558.6</v>
      </c>
      <c r="D213" s="1">
        <v>-5.9894000000000003E-2</v>
      </c>
      <c r="E213" s="1" t="str">
        <f t="shared" si="0"/>
        <v>FGINX</v>
      </c>
    </row>
    <row r="214" spans="1:5" ht="14.25" customHeight="1" x14ac:dyDescent="0.25">
      <c r="A214" s="3">
        <v>42277</v>
      </c>
      <c r="B214" s="1">
        <v>12663</v>
      </c>
      <c r="C214" s="1">
        <v>1497</v>
      </c>
      <c r="D214" s="1">
        <v>-3.7952E-2</v>
      </c>
      <c r="E214" s="1" t="str">
        <f t="shared" si="0"/>
        <v>FGINX</v>
      </c>
    </row>
    <row r="215" spans="1:5" ht="14.25" customHeight="1" x14ac:dyDescent="0.25">
      <c r="A215" s="3">
        <v>42307</v>
      </c>
      <c r="B215" s="1">
        <v>12663</v>
      </c>
      <c r="C215" s="1">
        <v>1600.1</v>
      </c>
      <c r="D215" s="1">
        <v>7.1252999999999997E-2</v>
      </c>
      <c r="E215" s="1" t="str">
        <f t="shared" si="0"/>
        <v>FGINX</v>
      </c>
    </row>
    <row r="216" spans="1:5" ht="14.25" customHeight="1" x14ac:dyDescent="0.25">
      <c r="A216" s="3">
        <v>42338</v>
      </c>
      <c r="B216" s="1">
        <v>12663</v>
      </c>
      <c r="C216" s="1">
        <v>1602</v>
      </c>
      <c r="D216" s="1">
        <v>2.294E-3</v>
      </c>
      <c r="E216" s="1" t="str">
        <f t="shared" si="0"/>
        <v>FGINX</v>
      </c>
    </row>
    <row r="217" spans="1:5" ht="14.25" customHeight="1" x14ac:dyDescent="0.25">
      <c r="A217" s="3">
        <v>42369</v>
      </c>
      <c r="B217" s="1">
        <v>12663</v>
      </c>
      <c r="C217" s="1">
        <v>1567.1</v>
      </c>
      <c r="D217" s="1">
        <v>-2.087E-2</v>
      </c>
      <c r="E217" s="1" t="str">
        <f t="shared" si="0"/>
        <v>FGINX</v>
      </c>
    </row>
    <row r="218" spans="1:5" ht="14.25" customHeight="1" x14ac:dyDescent="0.25">
      <c r="A218" s="3">
        <v>42398</v>
      </c>
      <c r="B218" s="1">
        <v>12663</v>
      </c>
      <c r="C218" s="1">
        <v>1456.4</v>
      </c>
      <c r="D218" s="1">
        <v>-6.8270999999999998E-2</v>
      </c>
      <c r="E218" s="1" t="str">
        <f t="shared" si="0"/>
        <v>FGINX</v>
      </c>
    </row>
    <row r="219" spans="1:5" ht="14.25" customHeight="1" x14ac:dyDescent="0.25">
      <c r="A219" s="3">
        <v>42429</v>
      </c>
      <c r="B219" s="1">
        <v>12663</v>
      </c>
      <c r="C219" s="1">
        <v>1450.9</v>
      </c>
      <c r="D219" s="1">
        <v>5.2700000000000002E-4</v>
      </c>
      <c r="E219" s="1" t="str">
        <f t="shared" si="0"/>
        <v>FGINX</v>
      </c>
    </row>
    <row r="220" spans="1:5" ht="14.25" customHeight="1" x14ac:dyDescent="0.25">
      <c r="A220" s="3">
        <v>42460</v>
      </c>
      <c r="B220" s="1">
        <v>12663</v>
      </c>
      <c r="C220" s="1">
        <v>1549.2</v>
      </c>
      <c r="D220" s="1">
        <v>7.0609000000000005E-2</v>
      </c>
      <c r="E220" s="1" t="str">
        <f t="shared" si="0"/>
        <v>FGINX</v>
      </c>
    </row>
    <row r="221" spans="1:5" ht="14.25" customHeight="1" x14ac:dyDescent="0.25">
      <c r="A221" s="3">
        <v>42489</v>
      </c>
      <c r="B221" s="1">
        <v>12663</v>
      </c>
      <c r="C221" s="1">
        <v>1544.1</v>
      </c>
      <c r="D221" s="1">
        <v>0</v>
      </c>
      <c r="E221" s="1" t="str">
        <f t="shared" si="0"/>
        <v>FGINX</v>
      </c>
    </row>
    <row r="222" spans="1:5" ht="14.25" customHeight="1" x14ac:dyDescent="0.25">
      <c r="A222" s="3">
        <v>42521</v>
      </c>
      <c r="B222" s="1">
        <v>12663</v>
      </c>
      <c r="C222" s="1">
        <v>1560.3</v>
      </c>
      <c r="D222" s="1">
        <v>1.43E-2</v>
      </c>
      <c r="E222" s="1" t="str">
        <f t="shared" si="0"/>
        <v>FGINX</v>
      </c>
    </row>
    <row r="223" spans="1:5" ht="14.25" customHeight="1" x14ac:dyDescent="0.25">
      <c r="A223" s="3">
        <v>42551</v>
      </c>
      <c r="B223" s="1">
        <v>12663</v>
      </c>
      <c r="C223" s="1">
        <v>1547.8</v>
      </c>
      <c r="D223" s="1">
        <v>-3.3400000000000001E-3</v>
      </c>
      <c r="E223" s="1" t="str">
        <f t="shared" si="0"/>
        <v>FGINX</v>
      </c>
    </row>
    <row r="224" spans="1:5" ht="14.25" customHeight="1" x14ac:dyDescent="0.25">
      <c r="A224" s="3">
        <v>42580</v>
      </c>
      <c r="B224" s="1">
        <v>12663</v>
      </c>
      <c r="C224" s="1">
        <v>1608.1</v>
      </c>
      <c r="D224" s="1">
        <v>4.6920999999999997E-2</v>
      </c>
      <c r="E224" s="1" t="str">
        <f t="shared" si="0"/>
        <v>FGINX</v>
      </c>
    </row>
    <row r="225" spans="1:5" ht="14.25" customHeight="1" x14ac:dyDescent="0.25">
      <c r="A225" s="3">
        <v>42613</v>
      </c>
      <c r="B225" s="1">
        <v>12663</v>
      </c>
      <c r="C225" s="1">
        <v>1607.9</v>
      </c>
      <c r="D225" s="1">
        <v>8.8699999999999994E-3</v>
      </c>
      <c r="E225" s="1" t="str">
        <f t="shared" si="0"/>
        <v>FGINX</v>
      </c>
    </row>
    <row r="226" spans="1:5" ht="14.25" customHeight="1" x14ac:dyDescent="0.25">
      <c r="A226" s="3">
        <v>42643</v>
      </c>
      <c r="B226" s="1">
        <v>12663</v>
      </c>
      <c r="C226" s="1">
        <v>1589</v>
      </c>
      <c r="D226" s="1">
        <v>-2.7759999999999998E-3</v>
      </c>
      <c r="E226" s="1" t="str">
        <f t="shared" si="0"/>
        <v>FGINX</v>
      </c>
    </row>
    <row r="227" spans="1:5" ht="14.25" customHeight="1" x14ac:dyDescent="0.25">
      <c r="A227" s="3">
        <v>42674</v>
      </c>
      <c r="B227" s="1">
        <v>12663</v>
      </c>
      <c r="C227" s="1">
        <v>1524.3</v>
      </c>
      <c r="D227" s="1">
        <v>-3.1613000000000002E-2</v>
      </c>
      <c r="E227" s="1" t="str">
        <f t="shared" si="0"/>
        <v>FGINX</v>
      </c>
    </row>
    <row r="228" spans="1:5" ht="14.25" customHeight="1" x14ac:dyDescent="0.25">
      <c r="A228" s="3">
        <v>42704</v>
      </c>
      <c r="B228" s="1">
        <v>12663</v>
      </c>
      <c r="C228" s="1">
        <v>1573.9</v>
      </c>
      <c r="D228" s="1">
        <v>4.2727000000000001E-2</v>
      </c>
      <c r="E228" s="1" t="str">
        <f t="shared" si="0"/>
        <v>FGINX</v>
      </c>
    </row>
    <row r="229" spans="1:5" ht="14.25" customHeight="1" x14ac:dyDescent="0.25">
      <c r="A229" s="3">
        <v>42734</v>
      </c>
      <c r="B229" s="1">
        <v>12663</v>
      </c>
      <c r="C229" s="1">
        <v>1594.5</v>
      </c>
      <c r="D229" s="1">
        <v>1.9845000000000002E-2</v>
      </c>
      <c r="E229" s="1" t="str">
        <f t="shared" si="0"/>
        <v>FGINX</v>
      </c>
    </row>
    <row r="230" spans="1:5" ht="14.25" customHeight="1" x14ac:dyDescent="0.25">
      <c r="A230" s="3">
        <v>42766</v>
      </c>
      <c r="B230" s="1">
        <v>12663</v>
      </c>
      <c r="C230" s="1">
        <v>1605.7</v>
      </c>
      <c r="D230" s="1">
        <v>1.4130999999999999E-2</v>
      </c>
      <c r="E230" s="1" t="str">
        <f t="shared" si="0"/>
        <v>FGINX</v>
      </c>
    </row>
    <row r="231" spans="1:5" ht="14.25" customHeight="1" x14ac:dyDescent="0.25">
      <c r="A231" s="3">
        <v>42794</v>
      </c>
      <c r="B231" s="1">
        <v>12663</v>
      </c>
      <c r="C231" s="1">
        <v>1647.8</v>
      </c>
      <c r="D231" s="1">
        <v>3.0190000000000002E-2</v>
      </c>
      <c r="E231" s="1" t="str">
        <f t="shared" si="0"/>
        <v>FGINX</v>
      </c>
    </row>
    <row r="232" spans="1:5" ht="14.25" customHeight="1" x14ac:dyDescent="0.25">
      <c r="A232" s="3">
        <v>42825</v>
      </c>
      <c r="B232" s="1">
        <v>12663</v>
      </c>
      <c r="C232" s="1">
        <v>1634.3</v>
      </c>
      <c r="D232" s="1">
        <v>-1.8029999999999999E-3</v>
      </c>
      <c r="E232" s="1" t="str">
        <f t="shared" si="0"/>
        <v>FGINX</v>
      </c>
    </row>
    <row r="233" spans="1:5" ht="14.25" customHeight="1" x14ac:dyDescent="0.25">
      <c r="A233" s="3">
        <v>42853</v>
      </c>
      <c r="B233" s="1">
        <v>12663</v>
      </c>
      <c r="C233" s="1">
        <v>1646.8</v>
      </c>
      <c r="D233" s="1">
        <v>1.1764999999999999E-2</v>
      </c>
      <c r="E233" s="1" t="str">
        <f t="shared" si="0"/>
        <v>FGINX</v>
      </c>
    </row>
    <row r="234" spans="1:5" ht="14.25" customHeight="1" x14ac:dyDescent="0.25">
      <c r="A234" s="3">
        <v>42886</v>
      </c>
      <c r="B234" s="1">
        <v>12663</v>
      </c>
      <c r="C234" s="1">
        <v>1640.4</v>
      </c>
      <c r="D234" s="1">
        <v>4.4700000000000002E-4</v>
      </c>
      <c r="E234" s="1" t="str">
        <f t="shared" si="0"/>
        <v>FGINX</v>
      </c>
    </row>
    <row r="235" spans="1:5" ht="14.25" customHeight="1" x14ac:dyDescent="0.25">
      <c r="A235" s="3">
        <v>42916</v>
      </c>
      <c r="B235" s="1">
        <v>12663</v>
      </c>
      <c r="C235" s="1">
        <v>1654.7</v>
      </c>
      <c r="D235" s="1">
        <v>1.4295E-2</v>
      </c>
      <c r="E235" s="1" t="str">
        <f t="shared" si="0"/>
        <v>FGINX</v>
      </c>
    </row>
    <row r="236" spans="1:5" ht="14.25" customHeight="1" x14ac:dyDescent="0.25">
      <c r="A236" s="3">
        <v>42947</v>
      </c>
      <c r="B236" s="1">
        <v>12663</v>
      </c>
      <c r="C236" s="1">
        <v>1657.1</v>
      </c>
      <c r="D236" s="1">
        <v>7.9469999999999992E-3</v>
      </c>
      <c r="E236" s="1" t="str">
        <f t="shared" si="0"/>
        <v>FGINX</v>
      </c>
    </row>
    <row r="237" spans="1:5" ht="14.25" customHeight="1" x14ac:dyDescent="0.25">
      <c r="A237" s="3">
        <v>42978</v>
      </c>
      <c r="B237" s="1">
        <v>12663</v>
      </c>
      <c r="C237" s="1">
        <v>1630.3</v>
      </c>
      <c r="D237" s="1">
        <v>-9.1979999999999996E-3</v>
      </c>
      <c r="E237" s="1" t="str">
        <f t="shared" si="0"/>
        <v>FGINX</v>
      </c>
    </row>
    <row r="238" spans="1:5" ht="14.25" customHeight="1" x14ac:dyDescent="0.25">
      <c r="A238" s="3">
        <v>43007</v>
      </c>
      <c r="B238" s="1">
        <v>12663</v>
      </c>
      <c r="C238" s="1">
        <v>1675.6</v>
      </c>
      <c r="D238" s="1">
        <v>3.5199000000000001E-2</v>
      </c>
      <c r="E238" s="1" t="str">
        <f t="shared" si="0"/>
        <v>FGINX</v>
      </c>
    </row>
    <row r="239" spans="1:5" ht="14.25" customHeight="1" x14ac:dyDescent="0.25">
      <c r="A239" s="3">
        <v>43039</v>
      </c>
      <c r="B239" s="1">
        <v>12663</v>
      </c>
      <c r="C239" s="1">
        <v>1691.4</v>
      </c>
      <c r="D239" s="1">
        <v>1.6309000000000001E-2</v>
      </c>
      <c r="E239" s="1" t="str">
        <f t="shared" si="0"/>
        <v>FGINX</v>
      </c>
    </row>
    <row r="240" spans="1:5" ht="14.25" customHeight="1" x14ac:dyDescent="0.25">
      <c r="A240" s="3">
        <v>43069</v>
      </c>
      <c r="B240" s="1">
        <v>12663</v>
      </c>
      <c r="C240" s="1">
        <v>1742.8</v>
      </c>
      <c r="D240" s="1">
        <v>3.7583999999999999E-2</v>
      </c>
      <c r="E240" s="1" t="str">
        <f t="shared" si="0"/>
        <v>FGINX</v>
      </c>
    </row>
    <row r="241" spans="1:5" ht="14.25" customHeight="1" x14ac:dyDescent="0.25">
      <c r="A241" s="3">
        <v>43098</v>
      </c>
      <c r="B241" s="1">
        <v>12663</v>
      </c>
      <c r="C241" s="1">
        <v>1751.1</v>
      </c>
      <c r="D241" s="1">
        <v>1.1528E-2</v>
      </c>
      <c r="E241" s="1" t="str">
        <f t="shared" si="0"/>
        <v>FGINX</v>
      </c>
    </row>
    <row r="242" spans="1:5" ht="14.25" customHeight="1" x14ac:dyDescent="0.25">
      <c r="A242" s="3">
        <v>43131</v>
      </c>
      <c r="B242" s="1">
        <v>12663</v>
      </c>
      <c r="C242" s="1">
        <v>1803.5</v>
      </c>
      <c r="D242" s="1">
        <v>3.9025999999999998E-2</v>
      </c>
      <c r="E242" s="1" t="str">
        <f t="shared" si="0"/>
        <v>FGINX</v>
      </c>
    </row>
    <row r="243" spans="1:5" ht="14.25" customHeight="1" x14ac:dyDescent="0.25">
      <c r="A243" s="3">
        <v>43159</v>
      </c>
      <c r="B243" s="1">
        <v>12663</v>
      </c>
      <c r="C243" s="1">
        <v>1698.8</v>
      </c>
      <c r="D243" s="1">
        <v>-4.8061E-2</v>
      </c>
      <c r="E243" s="1" t="str">
        <f t="shared" si="0"/>
        <v>FGINX</v>
      </c>
    </row>
    <row r="244" spans="1:5" ht="14.25" customHeight="1" x14ac:dyDescent="0.25">
      <c r="A244" s="3">
        <v>43188</v>
      </c>
      <c r="B244" s="1">
        <v>12663</v>
      </c>
      <c r="C244" s="1">
        <v>1642.3</v>
      </c>
      <c r="D244" s="1">
        <v>-2.2959E-2</v>
      </c>
      <c r="E244" s="1" t="str">
        <f t="shared" si="0"/>
        <v>FGINX</v>
      </c>
    </row>
    <row r="245" spans="1:5" ht="14.25" customHeight="1" x14ac:dyDescent="0.25">
      <c r="A245" s="3">
        <v>43220</v>
      </c>
      <c r="B245" s="1">
        <v>12663</v>
      </c>
      <c r="C245" s="1">
        <v>1621.9</v>
      </c>
      <c r="D245" s="1">
        <v>-1.3079999999999999E-3</v>
      </c>
      <c r="E245" s="1" t="str">
        <f t="shared" si="0"/>
        <v>FGINX</v>
      </c>
    </row>
    <row r="246" spans="1:5" ht="14.25" customHeight="1" x14ac:dyDescent="0.25">
      <c r="A246" s="3">
        <v>43251</v>
      </c>
      <c r="B246" s="1">
        <v>12663</v>
      </c>
      <c r="C246" s="1">
        <v>1630.8</v>
      </c>
      <c r="D246" s="1">
        <v>1.4847000000000001E-2</v>
      </c>
      <c r="E246" s="1" t="str">
        <f t="shared" si="0"/>
        <v>FGINX</v>
      </c>
    </row>
    <row r="247" spans="1:5" ht="14.25" customHeight="1" x14ac:dyDescent="0.25">
      <c r="A247" s="3">
        <v>43280</v>
      </c>
      <c r="B247" s="1">
        <v>12663</v>
      </c>
      <c r="C247" s="1">
        <v>1609.4</v>
      </c>
      <c r="D247" s="1">
        <v>-3.408E-3</v>
      </c>
      <c r="E247" s="1" t="str">
        <f t="shared" si="0"/>
        <v>FGINX</v>
      </c>
    </row>
    <row r="248" spans="1:5" ht="14.25" customHeight="1" x14ac:dyDescent="0.25">
      <c r="A248" s="3">
        <v>43312</v>
      </c>
      <c r="B248" s="1">
        <v>12663</v>
      </c>
      <c r="C248" s="1">
        <v>1661.5</v>
      </c>
      <c r="D248" s="1">
        <v>4.3309E-2</v>
      </c>
      <c r="E248" s="1" t="str">
        <f t="shared" si="0"/>
        <v>FGINX</v>
      </c>
    </row>
    <row r="249" spans="1:5" ht="14.25" customHeight="1" x14ac:dyDescent="0.25">
      <c r="A249" s="3">
        <v>43343</v>
      </c>
      <c r="B249" s="1">
        <v>12663</v>
      </c>
      <c r="C249" s="1">
        <v>1662.9</v>
      </c>
      <c r="D249" s="1">
        <v>1.2038E-2</v>
      </c>
      <c r="E249" s="1" t="str">
        <f t="shared" si="0"/>
        <v>FGINX</v>
      </c>
    </row>
    <row r="250" spans="1:5" ht="14.25" customHeight="1" x14ac:dyDescent="0.25">
      <c r="A250" s="3">
        <v>43371</v>
      </c>
      <c r="B250" s="1">
        <v>12663</v>
      </c>
      <c r="C250" s="1">
        <v>1654.3</v>
      </c>
      <c r="D250" s="1">
        <v>3.7910000000000001E-3</v>
      </c>
      <c r="E250" s="1" t="str">
        <f t="shared" si="0"/>
        <v>FGINX</v>
      </c>
    </row>
    <row r="251" spans="1:5" ht="14.25" customHeight="1" x14ac:dyDescent="0.25">
      <c r="A251" s="3">
        <v>43404</v>
      </c>
      <c r="B251" s="1">
        <v>12663</v>
      </c>
      <c r="C251" s="1">
        <v>1540.8</v>
      </c>
      <c r="D251" s="1">
        <v>-5.9811999999999997E-2</v>
      </c>
      <c r="E251" s="1" t="str">
        <f t="shared" si="0"/>
        <v>FGINX</v>
      </c>
    </row>
    <row r="252" spans="1:5" ht="14.25" customHeight="1" x14ac:dyDescent="0.25">
      <c r="A252" s="3">
        <v>43434</v>
      </c>
      <c r="B252" s="1">
        <v>12663</v>
      </c>
      <c r="C252" s="1">
        <v>1557.8</v>
      </c>
      <c r="D252" s="1">
        <v>1.9172000000000002E-2</v>
      </c>
      <c r="E252" s="1" t="str">
        <f t="shared" si="0"/>
        <v>FGINX</v>
      </c>
    </row>
    <row r="253" spans="1:5" ht="14.25" customHeight="1" x14ac:dyDescent="0.25">
      <c r="A253" s="3">
        <v>43465</v>
      </c>
      <c r="B253" s="1">
        <v>12663</v>
      </c>
      <c r="C253" s="1">
        <v>1393.1</v>
      </c>
      <c r="D253" s="1">
        <v>-9.6646999999999997E-2</v>
      </c>
      <c r="E253" s="1" t="str">
        <f t="shared" si="0"/>
        <v>FGINX</v>
      </c>
    </row>
    <row r="254" spans="1:5" ht="14.25" customHeight="1" x14ac:dyDescent="0.25">
      <c r="A254" s="3">
        <v>43496</v>
      </c>
      <c r="B254" s="1">
        <v>12663</v>
      </c>
      <c r="C254" s="1">
        <v>1475.4</v>
      </c>
      <c r="D254" s="1">
        <v>6.6979999999999998E-2</v>
      </c>
      <c r="E254" s="1" t="str">
        <f t="shared" si="0"/>
        <v>FGINX</v>
      </c>
    </row>
    <row r="255" spans="1:5" ht="14.25" customHeight="1" x14ac:dyDescent="0.25">
      <c r="A255" s="3">
        <v>43524</v>
      </c>
      <c r="B255" s="1">
        <v>12663</v>
      </c>
      <c r="C255" s="1">
        <v>1507.8</v>
      </c>
      <c r="D255" s="1">
        <v>2.9184999999999999E-2</v>
      </c>
      <c r="E255" s="1" t="str">
        <f t="shared" si="0"/>
        <v>FGINX</v>
      </c>
    </row>
    <row r="256" spans="1:5" ht="14.25" customHeight="1" x14ac:dyDescent="0.25">
      <c r="A256" s="3">
        <v>43553</v>
      </c>
      <c r="B256" s="1">
        <v>12663</v>
      </c>
      <c r="C256" s="1">
        <v>1506.6</v>
      </c>
      <c r="D256" s="1">
        <v>7.1130000000000004E-3</v>
      </c>
      <c r="E256" s="1" t="str">
        <f t="shared" si="0"/>
        <v>FGINX</v>
      </c>
    </row>
    <row r="257" spans="1:5" ht="14.25" customHeight="1" x14ac:dyDescent="0.25">
      <c r="A257" s="3">
        <v>43585</v>
      </c>
      <c r="B257" s="1">
        <v>12663</v>
      </c>
      <c r="C257" s="1">
        <v>1548.8</v>
      </c>
      <c r="D257" s="1">
        <v>3.8913000000000003E-2</v>
      </c>
      <c r="E257" s="1" t="str">
        <f t="shared" ref="E257:E325" si="1">IF(B257=12663,"FGINX",IF(B257=4516,"PGWCX","SPFIX"))</f>
        <v>FGINX</v>
      </c>
    </row>
    <row r="258" spans="1:5" ht="14.25" customHeight="1" x14ac:dyDescent="0.25">
      <c r="A258" s="3">
        <v>43616</v>
      </c>
      <c r="B258" s="1">
        <v>12663</v>
      </c>
      <c r="C258" s="1">
        <v>1445.2</v>
      </c>
      <c r="D258" s="1">
        <v>-5.5925999999999997E-2</v>
      </c>
      <c r="E258" s="1" t="str">
        <f t="shared" si="1"/>
        <v>FGINX</v>
      </c>
    </row>
    <row r="259" spans="1:5" ht="14.25" customHeight="1" x14ac:dyDescent="0.25">
      <c r="A259" s="3">
        <v>43644</v>
      </c>
      <c r="B259" s="1">
        <v>12663</v>
      </c>
      <c r="C259" s="1">
        <v>1524</v>
      </c>
      <c r="D259" s="1">
        <v>6.2533000000000005E-2</v>
      </c>
      <c r="E259" s="1" t="str">
        <f t="shared" si="1"/>
        <v>FGINX</v>
      </c>
    </row>
    <row r="260" spans="1:5" ht="14.25" customHeight="1" x14ac:dyDescent="0.25">
      <c r="A260" s="3">
        <v>43677</v>
      </c>
      <c r="B260" s="1">
        <v>12663</v>
      </c>
      <c r="C260" s="1">
        <v>1517.3</v>
      </c>
      <c r="D260" s="1">
        <v>1.2319999999999999E-2</v>
      </c>
      <c r="E260" s="1" t="str">
        <f t="shared" si="1"/>
        <v>FGINX</v>
      </c>
    </row>
    <row r="261" spans="1:5" ht="14.25" customHeight="1" x14ac:dyDescent="0.25">
      <c r="A261" s="3">
        <v>43707</v>
      </c>
      <c r="B261" s="1">
        <v>12663</v>
      </c>
      <c r="C261" s="1">
        <v>1463.3</v>
      </c>
      <c r="D261" s="1">
        <v>-1.5213000000000001E-2</v>
      </c>
      <c r="E261" s="1" t="str">
        <f t="shared" si="1"/>
        <v>FGINX</v>
      </c>
    </row>
    <row r="262" spans="1:5" ht="14.25" customHeight="1" x14ac:dyDescent="0.25">
      <c r="A262" s="3">
        <v>43738</v>
      </c>
      <c r="B262" s="1">
        <v>12663</v>
      </c>
      <c r="C262" s="1">
        <v>1466.1</v>
      </c>
      <c r="D262" s="1">
        <v>2.5798000000000001E-2</v>
      </c>
      <c r="E262" s="1" t="str">
        <f t="shared" si="1"/>
        <v>FGINX</v>
      </c>
    </row>
    <row r="263" spans="1:5" ht="14.25" customHeight="1" x14ac:dyDescent="0.25">
      <c r="A263" s="3">
        <v>43769</v>
      </c>
      <c r="B263" s="1">
        <v>12663</v>
      </c>
      <c r="C263" s="1">
        <v>1429</v>
      </c>
      <c r="D263" s="1">
        <v>0</v>
      </c>
      <c r="E263" s="1" t="str">
        <f t="shared" si="1"/>
        <v>FGINX</v>
      </c>
    </row>
    <row r="264" spans="1:5" ht="14.25" customHeight="1" x14ac:dyDescent="0.25">
      <c r="A264" s="3">
        <v>43798</v>
      </c>
      <c r="B264" s="1">
        <v>12663</v>
      </c>
      <c r="C264" s="1">
        <v>1428.8</v>
      </c>
      <c r="D264" s="1">
        <v>2.6196000000000001E-2</v>
      </c>
      <c r="E264" s="1" t="str">
        <f t="shared" si="1"/>
        <v>FGINX</v>
      </c>
    </row>
    <row r="265" spans="1:5" ht="14.25" customHeight="1" x14ac:dyDescent="0.25">
      <c r="A265" s="3">
        <v>43830</v>
      </c>
      <c r="B265" s="1">
        <v>12663</v>
      </c>
      <c r="C265" s="1">
        <v>1416.8</v>
      </c>
      <c r="D265" s="1">
        <v>3.4708000000000003E-2</v>
      </c>
      <c r="E265" s="1" t="str">
        <f t="shared" si="1"/>
        <v>FGINX</v>
      </c>
    </row>
    <row r="266" spans="1:5" ht="14.25" customHeight="1" x14ac:dyDescent="0.25">
      <c r="A266" s="3">
        <v>43861</v>
      </c>
      <c r="B266" s="1">
        <v>12663</v>
      </c>
      <c r="C266" s="1">
        <v>1349.8</v>
      </c>
      <c r="D266" s="1">
        <v>-2.7897000000000002E-2</v>
      </c>
      <c r="E266" s="1" t="str">
        <f t="shared" si="1"/>
        <v>FGINX</v>
      </c>
    </row>
    <row r="267" spans="1:5" ht="14.25" customHeight="1" x14ac:dyDescent="0.25">
      <c r="A267" s="3">
        <v>43889</v>
      </c>
      <c r="B267" s="1">
        <v>12663</v>
      </c>
      <c r="C267" s="1">
        <v>1173.5999999999999</v>
      </c>
      <c r="D267" s="1">
        <v>-0.114054</v>
      </c>
      <c r="E267" s="1" t="str">
        <f t="shared" si="1"/>
        <v>FGINX</v>
      </c>
    </row>
    <row r="268" spans="1:5" ht="14.25" customHeight="1" x14ac:dyDescent="0.25">
      <c r="A268" s="3">
        <v>43921</v>
      </c>
      <c r="B268" s="1">
        <v>12663</v>
      </c>
      <c r="C268" s="1">
        <v>975.9</v>
      </c>
      <c r="D268" s="1">
        <v>-0.14618</v>
      </c>
      <c r="E268" s="1" t="str">
        <f t="shared" si="1"/>
        <v>FGINX</v>
      </c>
    </row>
    <row r="269" spans="1:5" ht="14.25" customHeight="1" x14ac:dyDescent="0.25">
      <c r="A269" s="3">
        <v>43951</v>
      </c>
      <c r="B269" s="1">
        <v>12663</v>
      </c>
      <c r="C269" s="1">
        <v>1072.0999999999999</v>
      </c>
      <c r="D269" s="1">
        <v>0.114481</v>
      </c>
      <c r="E269" s="1" t="str">
        <f t="shared" si="1"/>
        <v>FGINX</v>
      </c>
    </row>
    <row r="270" spans="1:5" ht="14.25" customHeight="1" x14ac:dyDescent="0.25">
      <c r="A270" s="3">
        <v>43980</v>
      </c>
      <c r="B270" s="1">
        <v>12663</v>
      </c>
      <c r="C270" s="1">
        <v>1102.5</v>
      </c>
      <c r="D270" s="1">
        <v>4.3020000000000003E-2</v>
      </c>
      <c r="E270" s="1" t="str">
        <f t="shared" si="1"/>
        <v>FGINX</v>
      </c>
    </row>
    <row r="271" spans="1:5" ht="14.25" customHeight="1" x14ac:dyDescent="0.25">
      <c r="A271" s="3">
        <v>44012</v>
      </c>
      <c r="B271" s="1">
        <v>12663</v>
      </c>
      <c r="C271" s="1">
        <v>1069.7</v>
      </c>
      <c r="D271" s="1">
        <v>-1.2054E-2</v>
      </c>
      <c r="E271" s="1" t="str">
        <f t="shared" si="1"/>
        <v>FGINX</v>
      </c>
    </row>
    <row r="272" spans="1:5" ht="14.25" customHeight="1" x14ac:dyDescent="0.25">
      <c r="A272" s="3">
        <v>44043</v>
      </c>
      <c r="B272" s="1">
        <v>12663</v>
      </c>
      <c r="C272" s="1">
        <v>1072.5</v>
      </c>
      <c r="D272" s="1">
        <v>2.3952000000000001E-2</v>
      </c>
      <c r="E272" s="1" t="str">
        <f t="shared" si="1"/>
        <v>FGINX</v>
      </c>
    </row>
    <row r="273" spans="1:5" ht="14.25" customHeight="1" x14ac:dyDescent="0.25">
      <c r="A273" s="3">
        <v>44074</v>
      </c>
      <c r="B273" s="1">
        <v>12663</v>
      </c>
      <c r="C273" s="1">
        <v>1075.9000000000001</v>
      </c>
      <c r="D273" s="1">
        <v>2.5898000000000001E-2</v>
      </c>
      <c r="E273" s="1" t="str">
        <f t="shared" si="1"/>
        <v>FGINX</v>
      </c>
    </row>
    <row r="274" spans="1:5" ht="14.25" customHeight="1" x14ac:dyDescent="0.25">
      <c r="A274" s="3">
        <v>44104</v>
      </c>
      <c r="B274" s="1">
        <v>12663</v>
      </c>
      <c r="C274" s="1">
        <v>1025.0999999999999</v>
      </c>
      <c r="D274" s="1">
        <v>-2.3182000000000001E-2</v>
      </c>
      <c r="E274" s="1" t="str">
        <f t="shared" si="1"/>
        <v>FGINX</v>
      </c>
    </row>
    <row r="275" spans="1:5" ht="14.25" customHeight="1" x14ac:dyDescent="0.25">
      <c r="A275" s="3">
        <v>44134</v>
      </c>
      <c r="B275" s="1">
        <v>12663</v>
      </c>
      <c r="C275" s="1">
        <v>972.8</v>
      </c>
      <c r="D275" s="1">
        <v>-2.8476000000000001E-2</v>
      </c>
      <c r="E275" s="1" t="str">
        <f t="shared" si="1"/>
        <v>FGINX</v>
      </c>
    </row>
    <row r="276" spans="1:5" ht="14.25" customHeight="1" x14ac:dyDescent="0.25">
      <c r="A276" s="3">
        <v>44165</v>
      </c>
      <c r="B276" s="1">
        <v>12663</v>
      </c>
      <c r="C276" s="1">
        <v>1077.9000000000001</v>
      </c>
      <c r="D276" s="1">
        <v>0.138793</v>
      </c>
      <c r="E276" s="1" t="str">
        <f t="shared" si="1"/>
        <v>FGINX</v>
      </c>
    </row>
    <row r="277" spans="1:5" ht="14.25" customHeight="1" x14ac:dyDescent="0.25">
      <c r="A277" s="3">
        <v>44196</v>
      </c>
      <c r="B277" s="1">
        <v>12663</v>
      </c>
      <c r="C277" s="1">
        <v>1094.8</v>
      </c>
      <c r="D277" s="1">
        <v>4.2209000000000003E-2</v>
      </c>
      <c r="E277" s="1" t="str">
        <f t="shared" si="1"/>
        <v>FGINX</v>
      </c>
    </row>
    <row r="278" spans="1:5" ht="14.25" customHeight="1" x14ac:dyDescent="0.25">
      <c r="A278" s="3">
        <v>44225</v>
      </c>
      <c r="B278" s="1">
        <v>12663</v>
      </c>
      <c r="C278" s="1">
        <v>1057.9000000000001</v>
      </c>
      <c r="D278" s="1">
        <v>-1.6080000000000001E-2</v>
      </c>
      <c r="E278" s="1" t="str">
        <f t="shared" si="1"/>
        <v>FGINX</v>
      </c>
    </row>
    <row r="279" spans="1:5" ht="14.25" customHeight="1" x14ac:dyDescent="0.25">
      <c r="A279" s="3">
        <v>44253</v>
      </c>
      <c r="B279" s="1">
        <v>12663</v>
      </c>
      <c r="C279" s="1">
        <v>1065.2</v>
      </c>
      <c r="D279" s="1">
        <v>3.1127999999999999E-2</v>
      </c>
      <c r="E279" s="1" t="str">
        <f t="shared" si="1"/>
        <v>FGINX</v>
      </c>
    </row>
    <row r="280" spans="1:5" ht="14.25" customHeight="1" x14ac:dyDescent="0.25">
      <c r="A280" s="3">
        <v>44286</v>
      </c>
      <c r="B280" s="1">
        <v>12663</v>
      </c>
      <c r="C280" s="1">
        <v>1115</v>
      </c>
      <c r="D280" s="1">
        <v>7.1430999999999994E-2</v>
      </c>
      <c r="E280" s="1" t="str">
        <f t="shared" si="1"/>
        <v>FGINX</v>
      </c>
    </row>
    <row r="281" spans="1:5" ht="14.25" customHeight="1" x14ac:dyDescent="0.25">
      <c r="A281" s="3">
        <v>44316</v>
      </c>
      <c r="B281" s="1">
        <v>12663</v>
      </c>
      <c r="C281" s="1">
        <v>1124.5999999999999</v>
      </c>
      <c r="D281" s="1">
        <v>2.8975000000000001E-2</v>
      </c>
      <c r="E281" s="1" t="str">
        <f t="shared" si="1"/>
        <v>FGINX</v>
      </c>
    </row>
    <row r="282" spans="1:5" ht="14.25" customHeight="1" x14ac:dyDescent="0.25">
      <c r="A282" s="3">
        <v>44344</v>
      </c>
      <c r="B282" s="1">
        <v>12663</v>
      </c>
      <c r="C282" s="1">
        <v>1128.2</v>
      </c>
      <c r="D282" s="1">
        <v>2.8846E-2</v>
      </c>
      <c r="E282" s="1" t="str">
        <f t="shared" si="1"/>
        <v>FGINX</v>
      </c>
    </row>
    <row r="283" spans="1:5" ht="14.25" customHeight="1" x14ac:dyDescent="0.25">
      <c r="A283" s="3">
        <v>44377</v>
      </c>
      <c r="B283" s="1">
        <v>12663</v>
      </c>
      <c r="C283" s="1">
        <v>1094.4000000000001</v>
      </c>
      <c r="D283" s="1">
        <v>-8.7989999999999995E-3</v>
      </c>
      <c r="E283" s="1" t="str">
        <f t="shared" si="1"/>
        <v>FGINX</v>
      </c>
    </row>
    <row r="284" spans="1:5" ht="14.25" customHeight="1" x14ac:dyDescent="0.25">
      <c r="A284" s="3">
        <v>44407</v>
      </c>
      <c r="B284" s="1">
        <v>12663</v>
      </c>
      <c r="C284" s="1">
        <v>1085.3</v>
      </c>
      <c r="D284" s="1">
        <v>8.7899999999999992E-3</v>
      </c>
      <c r="E284" s="1" t="str">
        <f t="shared" si="1"/>
        <v>FGINX</v>
      </c>
    </row>
    <row r="285" spans="1:5" ht="14.25" customHeight="1" x14ac:dyDescent="0.25">
      <c r="A285" s="3">
        <v>44439</v>
      </c>
      <c r="B285" s="1">
        <v>12663</v>
      </c>
      <c r="C285" s="1">
        <v>1092.9000000000001</v>
      </c>
      <c r="D285" s="1">
        <v>2.3458E-2</v>
      </c>
      <c r="E285" s="1" t="str">
        <f t="shared" si="1"/>
        <v>FGINX</v>
      </c>
    </row>
    <row r="286" spans="1:5" ht="14.25" customHeight="1" x14ac:dyDescent="0.25">
      <c r="A286" s="3">
        <v>44469</v>
      </c>
      <c r="B286" s="1">
        <v>12663</v>
      </c>
      <c r="C286" s="1">
        <v>1037.8</v>
      </c>
      <c r="D286" s="1">
        <v>-3.6088000000000002E-2</v>
      </c>
      <c r="E286" s="1" t="str">
        <f t="shared" si="1"/>
        <v>FGINX</v>
      </c>
    </row>
    <row r="287" spans="1:5" ht="14.25" customHeight="1" x14ac:dyDescent="0.25">
      <c r="A287" s="3">
        <v>44498</v>
      </c>
      <c r="B287" s="1">
        <v>12663</v>
      </c>
      <c r="C287" s="1">
        <v>1055.4000000000001</v>
      </c>
      <c r="D287" s="1">
        <v>2.9412000000000001E-2</v>
      </c>
      <c r="E287" s="1" t="str">
        <f t="shared" si="1"/>
        <v>FGINX</v>
      </c>
    </row>
    <row r="288" spans="1:5" ht="14.25" customHeight="1" x14ac:dyDescent="0.25">
      <c r="A288" s="3">
        <v>44530</v>
      </c>
      <c r="B288" s="1">
        <v>12663</v>
      </c>
      <c r="C288" s="1">
        <v>1002.8</v>
      </c>
      <c r="D288" s="1">
        <v>-3.7208999999999999E-2</v>
      </c>
      <c r="E288" s="1" t="str">
        <f t="shared" si="1"/>
        <v>FGINX</v>
      </c>
    </row>
    <row r="289" spans="1:5" ht="14.25" customHeight="1" x14ac:dyDescent="0.25">
      <c r="A289" s="3">
        <v>44561</v>
      </c>
      <c r="B289" s="1">
        <v>12663</v>
      </c>
      <c r="C289" s="1">
        <v>1066.0999999999999</v>
      </c>
      <c r="D289" s="1">
        <v>7.9925999999999997E-2</v>
      </c>
      <c r="E289" s="1" t="str">
        <f t="shared" si="1"/>
        <v>FGINX</v>
      </c>
    </row>
    <row r="290" spans="1:5" ht="14.25" customHeight="1" x14ac:dyDescent="0.25">
      <c r="A290" s="3">
        <v>44592</v>
      </c>
      <c r="B290" s="1">
        <v>12663</v>
      </c>
      <c r="C290" s="1">
        <v>1059</v>
      </c>
      <c r="D290" s="1">
        <v>3.5409999999999999E-3</v>
      </c>
      <c r="E290" s="1" t="str">
        <f t="shared" si="1"/>
        <v>FGINX</v>
      </c>
    </row>
    <row r="291" spans="1:5" ht="14.25" customHeight="1" x14ac:dyDescent="0.25">
      <c r="A291" s="3">
        <v>44620</v>
      </c>
      <c r="B291" s="1">
        <v>12663</v>
      </c>
      <c r="C291" s="1">
        <v>1046.7</v>
      </c>
      <c r="D291" s="1">
        <v>-1.4109999999999999E-3</v>
      </c>
      <c r="E291" s="1" t="str">
        <f t="shared" si="1"/>
        <v>FGINX</v>
      </c>
    </row>
    <row r="292" spans="1:5" ht="14.25" customHeight="1" x14ac:dyDescent="0.25">
      <c r="A292" s="3">
        <v>44651</v>
      </c>
      <c r="B292" s="1">
        <v>12663</v>
      </c>
      <c r="C292" s="1">
        <v>1045</v>
      </c>
      <c r="D292" s="1">
        <v>1.4251E-2</v>
      </c>
      <c r="E292" s="1" t="str">
        <f t="shared" si="1"/>
        <v>FGINX</v>
      </c>
    </row>
    <row r="293" spans="1:5" ht="14.25" customHeight="1" x14ac:dyDescent="0.25">
      <c r="A293" s="3">
        <v>44680</v>
      </c>
      <c r="B293" s="1">
        <v>12663</v>
      </c>
      <c r="C293" s="1">
        <v>993.4</v>
      </c>
      <c r="D293" s="1">
        <v>-3.8515000000000001E-2</v>
      </c>
      <c r="E293" s="1" t="str">
        <f t="shared" si="1"/>
        <v>FGINX</v>
      </c>
    </row>
    <row r="294" spans="1:5" ht="14.25" customHeight="1" x14ac:dyDescent="0.25">
      <c r="A294" s="3">
        <v>44712</v>
      </c>
      <c r="B294" s="1">
        <v>12663</v>
      </c>
      <c r="C294" s="1">
        <v>1026.8</v>
      </c>
      <c r="D294" s="1">
        <v>4.3700000000000003E-2</v>
      </c>
      <c r="E294" s="1" t="str">
        <f t="shared" si="1"/>
        <v>FGINX</v>
      </c>
    </row>
    <row r="295" spans="1:5" ht="14.25" customHeight="1" x14ac:dyDescent="0.25">
      <c r="A295" s="3">
        <v>44742</v>
      </c>
      <c r="B295" s="1">
        <v>12663</v>
      </c>
      <c r="C295" s="1">
        <v>932.8</v>
      </c>
      <c r="D295" s="1">
        <v>-8.1906000000000007E-2</v>
      </c>
      <c r="E295" s="1" t="str">
        <f t="shared" si="1"/>
        <v>FGINX</v>
      </c>
    </row>
    <row r="296" spans="1:5" ht="14.25" customHeight="1" x14ac:dyDescent="0.25">
      <c r="A296" s="3">
        <v>44771</v>
      </c>
      <c r="B296" s="1">
        <v>12663</v>
      </c>
      <c r="C296" s="1">
        <v>950.2</v>
      </c>
      <c r="D296" s="1">
        <v>2.5994E-2</v>
      </c>
      <c r="E296" s="1" t="str">
        <f t="shared" si="1"/>
        <v>FGINX</v>
      </c>
    </row>
    <row r="297" spans="1:5" ht="14.25" customHeight="1" x14ac:dyDescent="0.25">
      <c r="A297" s="3">
        <v>44804</v>
      </c>
      <c r="B297" s="1">
        <v>12663</v>
      </c>
      <c r="C297" s="1">
        <v>926.7</v>
      </c>
      <c r="D297" s="1">
        <v>-1.4158E-2</v>
      </c>
      <c r="E297" s="1" t="str">
        <f t="shared" si="1"/>
        <v>FGINX</v>
      </c>
    </row>
    <row r="298" spans="1:5" ht="14.25" customHeight="1" x14ac:dyDescent="0.25">
      <c r="A298" s="3">
        <v>44834</v>
      </c>
      <c r="B298" s="1">
        <v>12663</v>
      </c>
      <c r="C298" s="1">
        <v>858.4</v>
      </c>
      <c r="D298" s="1">
        <v>-7.0920999999999998E-2</v>
      </c>
      <c r="E298" s="1" t="str">
        <f t="shared" si="1"/>
        <v>FGINX</v>
      </c>
    </row>
    <row r="299" spans="1:5" ht="14.25" customHeight="1" x14ac:dyDescent="0.25">
      <c r="A299" s="3">
        <v>44865</v>
      </c>
      <c r="B299" s="1">
        <v>12663</v>
      </c>
      <c r="C299" s="1">
        <v>972.7</v>
      </c>
      <c r="D299" s="1">
        <v>0.14578199999999999</v>
      </c>
      <c r="E299" s="1" t="str">
        <f t="shared" si="1"/>
        <v>FGINX</v>
      </c>
    </row>
    <row r="300" spans="1:5" ht="14.25" customHeight="1" x14ac:dyDescent="0.25">
      <c r="A300" s="3">
        <v>44895</v>
      </c>
      <c r="B300" s="1">
        <v>12663</v>
      </c>
      <c r="C300" s="1">
        <v>1023.2</v>
      </c>
      <c r="D300" s="1">
        <v>6.1471999999999999E-2</v>
      </c>
      <c r="E300" s="1" t="str">
        <f t="shared" si="1"/>
        <v>FGINX</v>
      </c>
    </row>
    <row r="301" spans="1:5" ht="14.25" customHeight="1" x14ac:dyDescent="0.25">
      <c r="A301" s="3">
        <v>44925</v>
      </c>
      <c r="B301" s="1">
        <v>12663</v>
      </c>
      <c r="C301" s="1">
        <v>976.6</v>
      </c>
      <c r="D301" s="1">
        <v>-3.6817000000000003E-2</v>
      </c>
      <c r="E301" s="1" t="str">
        <f t="shared" si="1"/>
        <v>FGINX</v>
      </c>
    </row>
    <row r="302" spans="1:5" ht="14.25" customHeight="1" x14ac:dyDescent="0.25">
      <c r="A302" s="3">
        <v>44957</v>
      </c>
      <c r="B302" s="1">
        <v>12663</v>
      </c>
      <c r="C302" s="1">
        <v>1009.1</v>
      </c>
      <c r="D302" s="1">
        <v>4.1267999999999999E-2</v>
      </c>
      <c r="E302" s="1" t="str">
        <f t="shared" si="1"/>
        <v>FGINX</v>
      </c>
    </row>
    <row r="303" spans="1:5" ht="14.25" customHeight="1" x14ac:dyDescent="0.25">
      <c r="A303" s="3">
        <v>44985</v>
      </c>
      <c r="B303" s="1">
        <v>12663</v>
      </c>
      <c r="C303" s="1">
        <v>956.4</v>
      </c>
      <c r="D303" s="1">
        <v>-4.3171000000000001E-2</v>
      </c>
      <c r="E303" s="1" t="str">
        <f t="shared" si="1"/>
        <v>FGINX</v>
      </c>
    </row>
    <row r="304" spans="1:5" ht="14.25" customHeight="1" x14ac:dyDescent="0.25">
      <c r="A304" s="3">
        <v>45016</v>
      </c>
      <c r="B304" s="1">
        <v>12663</v>
      </c>
      <c r="C304" s="1">
        <v>1168.3</v>
      </c>
      <c r="D304" s="1">
        <v>-2.9166999999999998E-2</v>
      </c>
      <c r="E304" s="1" t="str">
        <f t="shared" si="1"/>
        <v>FGINX</v>
      </c>
    </row>
    <row r="305" spans="1:5" ht="14.25" customHeight="1" x14ac:dyDescent="0.25">
      <c r="A305" s="3">
        <v>45044</v>
      </c>
      <c r="B305" s="1">
        <v>12663</v>
      </c>
      <c r="C305" s="1">
        <v>1169.4000000000001</v>
      </c>
      <c r="D305" s="1">
        <v>1.3793E-2</v>
      </c>
      <c r="E305" s="1" t="str">
        <f t="shared" si="1"/>
        <v>FGINX</v>
      </c>
    </row>
    <row r="306" spans="1:5" ht="14.25" customHeight="1" x14ac:dyDescent="0.25">
      <c r="A306" s="3">
        <v>45077</v>
      </c>
      <c r="B306" s="1">
        <v>12663</v>
      </c>
      <c r="C306" s="1">
        <v>1118</v>
      </c>
      <c r="D306" s="1">
        <v>-3.2502000000000003E-2</v>
      </c>
      <c r="E306" s="1" t="str">
        <f t="shared" si="1"/>
        <v>FGINX</v>
      </c>
    </row>
    <row r="307" spans="1:5" ht="14.25" customHeight="1" x14ac:dyDescent="0.25">
      <c r="A307" s="3">
        <v>45107</v>
      </c>
      <c r="B307" s="1">
        <v>12663</v>
      </c>
      <c r="C307" s="1">
        <v>1185.3</v>
      </c>
      <c r="D307" s="1">
        <v>7.4426000000000006E-2</v>
      </c>
      <c r="E307" s="1" t="str">
        <f t="shared" si="1"/>
        <v>FGINX</v>
      </c>
    </row>
    <row r="308" spans="1:5" ht="14.25" customHeight="1" x14ac:dyDescent="0.25">
      <c r="A308" s="3">
        <v>45138</v>
      </c>
      <c r="B308" s="1">
        <v>12663</v>
      </c>
      <c r="C308" s="1">
        <v>1211.7</v>
      </c>
      <c r="D308" s="1">
        <v>3.4382000000000003E-2</v>
      </c>
      <c r="E308" s="1" t="str">
        <f t="shared" si="1"/>
        <v>FGINX</v>
      </c>
    </row>
    <row r="309" spans="1:5" ht="14.25" customHeight="1" x14ac:dyDescent="0.25">
      <c r="A309" s="3">
        <v>45169</v>
      </c>
      <c r="B309" s="1">
        <v>12663</v>
      </c>
      <c r="C309" s="1">
        <v>1183.4000000000001</v>
      </c>
      <c r="D309" s="1">
        <v>-9.9010000000000001E-3</v>
      </c>
      <c r="E309" s="1" t="str">
        <f t="shared" si="1"/>
        <v>FGINX</v>
      </c>
    </row>
    <row r="310" spans="1:5" ht="14.25" customHeight="1" x14ac:dyDescent="0.25">
      <c r="A310" s="3">
        <v>45198</v>
      </c>
      <c r="B310" s="1">
        <v>12663</v>
      </c>
      <c r="C310" s="1">
        <v>1145.3</v>
      </c>
      <c r="D310" s="1">
        <v>-2.0825E-2</v>
      </c>
      <c r="E310" s="1" t="str">
        <f t="shared" si="1"/>
        <v>FGINX</v>
      </c>
    </row>
    <row r="311" spans="1:5" ht="14.25" customHeight="1" x14ac:dyDescent="0.25">
      <c r="A311" s="3">
        <v>45230</v>
      </c>
      <c r="B311" s="1">
        <v>12663</v>
      </c>
      <c r="C311" s="1">
        <v>1094.8</v>
      </c>
      <c r="D311" s="1">
        <v>-3.2305E-2</v>
      </c>
      <c r="E311" s="1" t="str">
        <f t="shared" si="1"/>
        <v>FGINX</v>
      </c>
    </row>
    <row r="312" spans="1:5" ht="14.25" customHeight="1" x14ac:dyDescent="0.25">
      <c r="A312" s="3">
        <v>45260</v>
      </c>
      <c r="B312" s="1">
        <v>12663</v>
      </c>
      <c r="C312" s="1">
        <v>1140.4000000000001</v>
      </c>
      <c r="D312" s="1">
        <v>5.3110999999999998E-2</v>
      </c>
      <c r="E312" s="1" t="str">
        <f t="shared" si="1"/>
        <v>FGINX</v>
      </c>
    </row>
    <row r="313" spans="1:5" ht="14.25" customHeight="1" x14ac:dyDescent="0.25">
      <c r="A313" s="3">
        <v>45289</v>
      </c>
      <c r="B313" s="1">
        <v>12663</v>
      </c>
      <c r="C313" s="1">
        <v>1211.4000000000001</v>
      </c>
      <c r="D313" s="1">
        <v>7.4903999999999998E-2</v>
      </c>
      <c r="E313" s="1" t="str">
        <f t="shared" si="1"/>
        <v>FGINX</v>
      </c>
    </row>
    <row r="314" spans="1:5" ht="14.25" customHeight="1" x14ac:dyDescent="0.25">
      <c r="A314" s="3">
        <v>45322</v>
      </c>
      <c r="B314" s="1">
        <v>12663</v>
      </c>
      <c r="C314" s="1">
        <v>1214.5</v>
      </c>
      <c r="D314" s="1">
        <v>1.1306999999999999E-2</v>
      </c>
      <c r="E314" s="1" t="str">
        <f t="shared" si="1"/>
        <v>FGINX</v>
      </c>
    </row>
    <row r="315" spans="1:5" ht="14.25" customHeight="1" x14ac:dyDescent="0.25">
      <c r="A315" s="3">
        <v>45351</v>
      </c>
      <c r="B315" s="1">
        <v>12663</v>
      </c>
      <c r="C315" s="1">
        <v>1243.0999999999999</v>
      </c>
      <c r="D315" s="1">
        <v>3.4242000000000002E-2</v>
      </c>
      <c r="E315" s="1" t="str">
        <f t="shared" si="1"/>
        <v>FGINX</v>
      </c>
    </row>
    <row r="316" spans="1:5" ht="14.25" customHeight="1" x14ac:dyDescent="0.25">
      <c r="A316" s="3">
        <v>45379</v>
      </c>
      <c r="B316" s="1">
        <v>12663</v>
      </c>
      <c r="C316" s="1">
        <v>1309.8</v>
      </c>
      <c r="D316" s="1">
        <v>6.3349000000000003E-2</v>
      </c>
      <c r="E316" s="1" t="str">
        <f t="shared" si="1"/>
        <v>FGINX</v>
      </c>
    </row>
    <row r="317" spans="1:5" ht="14.25" customHeight="1" x14ac:dyDescent="0.25">
      <c r="A317" s="3">
        <v>45412</v>
      </c>
      <c r="B317" s="1">
        <v>12663</v>
      </c>
      <c r="C317" s="1">
        <v>1251.7</v>
      </c>
      <c r="D317" s="1">
        <v>-4.6644999999999999E-2</v>
      </c>
      <c r="E317" s="1" t="str">
        <f t="shared" si="1"/>
        <v>FGINX</v>
      </c>
    </row>
    <row r="318" spans="1:5" ht="14.25" customHeight="1" x14ac:dyDescent="0.25">
      <c r="A318" s="3">
        <v>45443</v>
      </c>
      <c r="B318" s="1">
        <v>12663</v>
      </c>
      <c r="C318" s="1">
        <v>1260</v>
      </c>
      <c r="D318" s="1">
        <v>2.2117999999999999E-2</v>
      </c>
      <c r="E318" s="1" t="str">
        <f t="shared" si="1"/>
        <v>FGINX</v>
      </c>
    </row>
    <row r="319" spans="1:5" ht="14.25" customHeight="1" x14ac:dyDescent="0.25">
      <c r="A319" s="3">
        <v>45471</v>
      </c>
      <c r="B319" s="1">
        <v>12663</v>
      </c>
      <c r="C319" s="1">
        <v>1256.4000000000001</v>
      </c>
      <c r="D319" s="1">
        <v>9.2060000000000006E-3</v>
      </c>
      <c r="E319" s="1" t="str">
        <f t="shared" si="1"/>
        <v>FGINX</v>
      </c>
    </row>
    <row r="320" spans="1:5" ht="14.25" customHeight="1" x14ac:dyDescent="0.25">
      <c r="A320" s="3">
        <v>45504</v>
      </c>
      <c r="B320" s="1">
        <v>12663</v>
      </c>
      <c r="C320" s="1">
        <v>1284.3</v>
      </c>
      <c r="D320" s="1">
        <v>3.5270999999999997E-2</v>
      </c>
      <c r="E320" s="1" t="str">
        <f t="shared" si="1"/>
        <v>FGINX</v>
      </c>
    </row>
    <row r="321" spans="1:5" ht="14.25" customHeight="1" x14ac:dyDescent="0.25">
      <c r="A321" s="3">
        <v>45534</v>
      </c>
      <c r="B321" s="1">
        <v>12663</v>
      </c>
      <c r="C321" s="1">
        <v>1278.2</v>
      </c>
      <c r="D321" s="1">
        <v>7.5709999999999996E-3</v>
      </c>
      <c r="E321" s="1" t="str">
        <f t="shared" si="1"/>
        <v>FGINX</v>
      </c>
    </row>
    <row r="322" spans="1:5" ht="14.25" customHeight="1" x14ac:dyDescent="0.25">
      <c r="A322" s="3">
        <v>45565</v>
      </c>
      <c r="B322" s="1">
        <v>12663</v>
      </c>
      <c r="C322" s="1">
        <v>1279.0999999999999</v>
      </c>
      <c r="D322" s="1">
        <v>1.0246999999999999E-2</v>
      </c>
      <c r="E322" s="1" t="str">
        <f t="shared" si="1"/>
        <v>FGINX</v>
      </c>
    </row>
    <row r="323" spans="1:5" ht="14.25" customHeight="1" x14ac:dyDescent="0.25">
      <c r="A323" s="3">
        <v>45596</v>
      </c>
      <c r="B323" s="1">
        <v>12663</v>
      </c>
      <c r="C323" s="1">
        <v>1264.4000000000001</v>
      </c>
      <c r="D323" s="1">
        <v>1.2459999999999999E-3</v>
      </c>
      <c r="E323" s="1" t="str">
        <f t="shared" si="1"/>
        <v>FGINX</v>
      </c>
    </row>
    <row r="324" spans="1:5" ht="14.25" customHeight="1" x14ac:dyDescent="0.25">
      <c r="A324" s="3">
        <v>45625</v>
      </c>
      <c r="B324" s="1">
        <v>12663</v>
      </c>
      <c r="C324" s="1">
        <v>1337.3</v>
      </c>
      <c r="D324" s="1">
        <v>6.7206000000000002E-2</v>
      </c>
      <c r="E324" s="1" t="str">
        <f t="shared" si="1"/>
        <v>FGINX</v>
      </c>
    </row>
    <row r="325" spans="1:5" ht="14.25" customHeight="1" x14ac:dyDescent="0.25">
      <c r="A325" s="3">
        <v>45657</v>
      </c>
      <c r="B325" s="1">
        <v>12663</v>
      </c>
      <c r="C325" s="1">
        <v>1238.3</v>
      </c>
      <c r="D325" s="1">
        <v>-6.4928E-2</v>
      </c>
      <c r="E325" s="1" t="str">
        <f t="shared" si="1"/>
        <v>FGINX</v>
      </c>
    </row>
    <row r="326" spans="1:5" ht="14.25" customHeight="1" x14ac:dyDescent="0.25"/>
    <row r="327" spans="1:5" ht="14.25" customHeight="1" x14ac:dyDescent="0.25"/>
    <row r="328" spans="1:5" ht="14.25" customHeight="1" x14ac:dyDescent="0.25"/>
    <row r="329" spans="1:5" ht="14.25" customHeight="1" x14ac:dyDescent="0.25"/>
    <row r="330" spans="1:5" ht="14.25" customHeight="1" x14ac:dyDescent="0.25"/>
    <row r="331" spans="1:5" ht="14.25" customHeight="1" x14ac:dyDescent="0.25"/>
    <row r="332" spans="1:5" ht="14.25" customHeight="1" x14ac:dyDescent="0.25"/>
    <row r="333" spans="1:5" ht="14.25" customHeight="1" x14ac:dyDescent="0.25"/>
    <row r="334" spans="1:5" ht="14.25" customHeight="1" x14ac:dyDescent="0.25"/>
    <row r="335" spans="1:5" ht="14.25" customHeight="1" x14ac:dyDescent="0.25"/>
    <row r="336" spans="1:5"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workbookViewId="0">
      <selection activeCell="H6" sqref="H6:N21"/>
    </sheetView>
  </sheetViews>
  <sheetFormatPr defaultColWidth="12.5703125" defaultRowHeight="15" customHeight="1" x14ac:dyDescent="0.25"/>
  <cols>
    <col min="1" max="1" width="9.85546875" customWidth="1"/>
    <col min="2" max="9" width="8.5703125" customWidth="1"/>
    <col min="10" max="10" width="10.5703125" customWidth="1"/>
    <col min="11" max="26" width="8.5703125" customWidth="1"/>
  </cols>
  <sheetData>
    <row r="1" spans="1:18" ht="14.25" customHeight="1" x14ac:dyDescent="0.25">
      <c r="A1" s="1" t="s">
        <v>0</v>
      </c>
      <c r="B1" s="1" t="s">
        <v>1</v>
      </c>
      <c r="C1" s="1" t="s">
        <v>2</v>
      </c>
      <c r="D1" s="1" t="s">
        <v>3</v>
      </c>
      <c r="E1" s="1" t="s">
        <v>4</v>
      </c>
      <c r="H1" s="2" t="s">
        <v>5</v>
      </c>
      <c r="I1" s="2" t="s">
        <v>4</v>
      </c>
      <c r="J1" s="2" t="s">
        <v>6</v>
      </c>
      <c r="K1" s="2" t="s">
        <v>7</v>
      </c>
      <c r="L1" s="2" t="s">
        <v>8</v>
      </c>
      <c r="M1" s="2" t="s">
        <v>9</v>
      </c>
      <c r="N1" s="2" t="s">
        <v>10</v>
      </c>
      <c r="O1" s="2" t="s">
        <v>11</v>
      </c>
      <c r="P1" s="2" t="s">
        <v>12</v>
      </c>
      <c r="Q1" s="2" t="s">
        <v>13</v>
      </c>
      <c r="R1" s="2" t="s">
        <v>14</v>
      </c>
    </row>
    <row r="2" spans="1:18" ht="14.25" customHeight="1" x14ac:dyDescent="0.25">
      <c r="A2" s="3">
        <v>35825</v>
      </c>
      <c r="B2" s="1">
        <v>4516</v>
      </c>
      <c r="C2" s="1">
        <v>1565.1410000000001</v>
      </c>
      <c r="D2" s="1">
        <v>2.1766000000000001E-2</v>
      </c>
      <c r="E2" s="1" t="str">
        <f t="shared" ref="E2:E256" si="0">IF(B2=12663,"FGINX",IF(B2=4516,"PGWCX","SPFIX"))</f>
        <v>PGWCX</v>
      </c>
      <c r="H2" s="2" t="s">
        <v>40</v>
      </c>
      <c r="I2" s="2" t="s">
        <v>124</v>
      </c>
      <c r="J2" s="2" t="s">
        <v>41</v>
      </c>
      <c r="K2" s="4" t="s">
        <v>42</v>
      </c>
      <c r="L2" s="2" t="s">
        <v>43</v>
      </c>
      <c r="M2" s="2" t="s">
        <v>20</v>
      </c>
      <c r="N2" s="2" t="s">
        <v>44</v>
      </c>
      <c r="O2" s="5">
        <v>6.7000000000000002E-3</v>
      </c>
      <c r="P2" s="6">
        <v>0.2</v>
      </c>
      <c r="Q2" s="2" t="s">
        <v>45</v>
      </c>
      <c r="R2" s="2" t="s">
        <v>46</v>
      </c>
    </row>
    <row r="3" spans="1:18" ht="14.25" customHeight="1" x14ac:dyDescent="0.25">
      <c r="A3" s="3">
        <v>35853</v>
      </c>
      <c r="B3" s="1">
        <v>4516</v>
      </c>
      <c r="C3" s="1">
        <v>1667.1569999999999</v>
      </c>
      <c r="D3" s="1">
        <v>7.5379000000000002E-2</v>
      </c>
      <c r="E3" s="1" t="str">
        <f t="shared" si="0"/>
        <v>PGWCX</v>
      </c>
    </row>
    <row r="4" spans="1:18" ht="14.25" customHeight="1" x14ac:dyDescent="0.25">
      <c r="A4" s="3">
        <v>35885</v>
      </c>
      <c r="B4" s="1">
        <v>4516</v>
      </c>
      <c r="C4" s="1">
        <v>1746.124</v>
      </c>
      <c r="D4" s="1">
        <v>6.7047999999999996E-2</v>
      </c>
      <c r="E4" s="1" t="str">
        <f t="shared" si="0"/>
        <v>PGWCX</v>
      </c>
    </row>
    <row r="5" spans="1:18" ht="14.25" customHeight="1" x14ac:dyDescent="0.25">
      <c r="A5" s="3">
        <v>35915</v>
      </c>
      <c r="B5" s="1">
        <v>4516</v>
      </c>
      <c r="C5" s="1">
        <v>1770.2739999999999</v>
      </c>
      <c r="D5" s="1">
        <v>1.8565000000000002E-2</v>
      </c>
      <c r="E5" s="1" t="str">
        <f t="shared" si="0"/>
        <v>PGWCX</v>
      </c>
    </row>
    <row r="6" spans="1:18" ht="14.25" customHeight="1" x14ac:dyDescent="0.25">
      <c r="A6" s="3">
        <v>35944</v>
      </c>
      <c r="B6" s="1">
        <v>4516</v>
      </c>
      <c r="C6" s="1">
        <v>1726.627</v>
      </c>
      <c r="D6" s="1">
        <v>-1.4019999999999999E-2</v>
      </c>
      <c r="E6" s="1" t="str">
        <f t="shared" si="0"/>
        <v>PGWCX</v>
      </c>
    </row>
    <row r="7" spans="1:18" ht="14.25" customHeight="1" x14ac:dyDescent="0.25">
      <c r="A7" s="3">
        <v>35976</v>
      </c>
      <c r="B7" s="1">
        <v>4516</v>
      </c>
      <c r="C7" s="1">
        <v>1859.6489999999999</v>
      </c>
      <c r="D7" s="1">
        <v>7.8208E-2</v>
      </c>
      <c r="E7" s="1" t="str">
        <f t="shared" si="0"/>
        <v>PGWCX</v>
      </c>
    </row>
    <row r="8" spans="1:18" ht="14.25" customHeight="1" x14ac:dyDescent="0.25">
      <c r="A8" s="3">
        <v>36007</v>
      </c>
      <c r="B8" s="1">
        <v>4516</v>
      </c>
      <c r="C8" s="1">
        <v>1810.473</v>
      </c>
      <c r="D8" s="1">
        <v>-1.8464000000000001E-2</v>
      </c>
      <c r="E8" s="1" t="str">
        <f t="shared" si="0"/>
        <v>PGWCX</v>
      </c>
    </row>
    <row r="9" spans="1:18" ht="14.25" customHeight="1" x14ac:dyDescent="0.25">
      <c r="A9" s="3">
        <v>36038</v>
      </c>
      <c r="B9" s="1">
        <v>4516</v>
      </c>
      <c r="C9" s="1">
        <v>1454.9749999999999</v>
      </c>
      <c r="D9" s="1">
        <v>-0.181391</v>
      </c>
      <c r="E9" s="1" t="str">
        <f t="shared" si="0"/>
        <v>PGWCX</v>
      </c>
    </row>
    <row r="10" spans="1:18" ht="14.25" customHeight="1" x14ac:dyDescent="0.25">
      <c r="A10" s="3">
        <v>36068</v>
      </c>
      <c r="B10" s="1">
        <v>4516</v>
      </c>
      <c r="C10" s="1">
        <v>1588.2</v>
      </c>
      <c r="D10" s="1">
        <v>8.8222999999999996E-2</v>
      </c>
      <c r="E10" s="1" t="str">
        <f t="shared" si="0"/>
        <v>PGWCX</v>
      </c>
    </row>
    <row r="11" spans="1:18" ht="14.25" customHeight="1" x14ac:dyDescent="0.25">
      <c r="A11" s="3">
        <v>36098</v>
      </c>
      <c r="B11" s="1">
        <v>4516</v>
      </c>
      <c r="C11" s="1">
        <v>1639.6</v>
      </c>
      <c r="D11" s="1">
        <v>3.9969999999999999E-2</v>
      </c>
      <c r="E11" s="1" t="str">
        <f t="shared" si="0"/>
        <v>PGWCX</v>
      </c>
    </row>
    <row r="12" spans="1:18" ht="14.25" customHeight="1" x14ac:dyDescent="0.25">
      <c r="A12" s="3">
        <v>36129</v>
      </c>
      <c r="B12" s="1">
        <v>4516</v>
      </c>
      <c r="C12" s="1">
        <v>1757.1</v>
      </c>
      <c r="D12" s="1">
        <v>7.5053999999999996E-2</v>
      </c>
      <c r="E12" s="1" t="str">
        <f t="shared" si="0"/>
        <v>PGWCX</v>
      </c>
    </row>
    <row r="13" spans="1:18" ht="14.25" customHeight="1" x14ac:dyDescent="0.25">
      <c r="A13" s="3">
        <v>36160</v>
      </c>
      <c r="B13" s="1">
        <v>4516</v>
      </c>
      <c r="C13" s="1">
        <v>1942.1</v>
      </c>
      <c r="D13" s="1">
        <v>0.11913600000000001</v>
      </c>
      <c r="E13" s="1" t="str">
        <f t="shared" si="0"/>
        <v>PGWCX</v>
      </c>
    </row>
    <row r="14" spans="1:18" ht="14.25" customHeight="1" x14ac:dyDescent="0.25">
      <c r="A14" s="3">
        <v>36189</v>
      </c>
      <c r="B14" s="1">
        <v>4516</v>
      </c>
      <c r="C14" s="1">
        <v>2076.5</v>
      </c>
      <c r="D14" s="1">
        <v>7.671E-2</v>
      </c>
      <c r="E14" s="1" t="str">
        <f t="shared" si="0"/>
        <v>PGWCX</v>
      </c>
    </row>
    <row r="15" spans="1:18" ht="14.25" customHeight="1" x14ac:dyDescent="0.25">
      <c r="A15" s="3">
        <v>36217</v>
      </c>
      <c r="B15" s="1">
        <v>4516</v>
      </c>
      <c r="C15" s="1">
        <v>1977.2</v>
      </c>
      <c r="D15" s="1">
        <v>-4.2361999999999997E-2</v>
      </c>
      <c r="E15" s="1" t="str">
        <f t="shared" si="0"/>
        <v>PGWCX</v>
      </c>
    </row>
    <row r="16" spans="1:18" ht="14.25" customHeight="1" x14ac:dyDescent="0.25">
      <c r="A16" s="3">
        <v>36250</v>
      </c>
      <c r="B16" s="1">
        <v>4516</v>
      </c>
      <c r="C16" s="1">
        <v>2080.9</v>
      </c>
      <c r="D16" s="1">
        <v>4.7921999999999999E-2</v>
      </c>
      <c r="E16" s="1" t="str">
        <f t="shared" si="0"/>
        <v>PGWCX</v>
      </c>
    </row>
    <row r="17" spans="1:5" ht="14.25" customHeight="1" x14ac:dyDescent="0.25">
      <c r="A17" s="3">
        <v>36280</v>
      </c>
      <c r="B17" s="1">
        <v>4516</v>
      </c>
      <c r="C17" s="1">
        <v>2027.8</v>
      </c>
      <c r="D17" s="1">
        <v>-2.5902999999999999E-2</v>
      </c>
      <c r="E17" s="1" t="str">
        <f t="shared" si="0"/>
        <v>PGWCX</v>
      </c>
    </row>
    <row r="18" spans="1:5" ht="14.25" customHeight="1" x14ac:dyDescent="0.25">
      <c r="A18" s="3">
        <v>36308</v>
      </c>
      <c r="B18" s="1">
        <v>4516</v>
      </c>
      <c r="C18" s="1">
        <v>1916.5</v>
      </c>
      <c r="D18" s="1">
        <v>-5.2527999999999998E-2</v>
      </c>
      <c r="E18" s="1" t="str">
        <f t="shared" si="0"/>
        <v>PGWCX</v>
      </c>
    </row>
    <row r="19" spans="1:5" ht="14.25" customHeight="1" x14ac:dyDescent="0.25">
      <c r="A19" s="3">
        <v>36341</v>
      </c>
      <c r="B19" s="1">
        <v>4516</v>
      </c>
      <c r="C19" s="1">
        <v>2066.3000000000002</v>
      </c>
      <c r="D19" s="1">
        <v>7.9349000000000003E-2</v>
      </c>
      <c r="E19" s="1" t="str">
        <f t="shared" si="0"/>
        <v>PGWCX</v>
      </c>
    </row>
    <row r="20" spans="1:5" ht="14.25" customHeight="1" x14ac:dyDescent="0.25">
      <c r="A20" s="3">
        <v>36371</v>
      </c>
      <c r="B20" s="1">
        <v>4516</v>
      </c>
      <c r="C20" s="1">
        <v>1953.3</v>
      </c>
      <c r="D20" s="1">
        <v>-4.2696999999999999E-2</v>
      </c>
      <c r="E20" s="1" t="str">
        <f t="shared" si="0"/>
        <v>PGWCX</v>
      </c>
    </row>
    <row r="21" spans="1:5" ht="14.25" customHeight="1" x14ac:dyDescent="0.25">
      <c r="A21" s="3">
        <v>36403</v>
      </c>
      <c r="B21" s="1">
        <v>4516</v>
      </c>
      <c r="C21" s="1">
        <v>1935.5</v>
      </c>
      <c r="D21" s="1">
        <v>1.6770000000000001E-3</v>
      </c>
      <c r="E21" s="1" t="str">
        <f t="shared" si="0"/>
        <v>PGWCX</v>
      </c>
    </row>
    <row r="22" spans="1:5" ht="14.25" customHeight="1" x14ac:dyDescent="0.25">
      <c r="A22" s="3">
        <v>36433</v>
      </c>
      <c r="B22" s="1">
        <v>4516</v>
      </c>
      <c r="C22" s="1">
        <v>1890.3</v>
      </c>
      <c r="D22" s="1">
        <v>-5.3569999999999998E-3</v>
      </c>
      <c r="E22" s="1" t="str">
        <f t="shared" si="0"/>
        <v>PGWCX</v>
      </c>
    </row>
    <row r="23" spans="1:5" ht="14.25" customHeight="1" x14ac:dyDescent="0.25">
      <c r="A23" s="3">
        <v>36462</v>
      </c>
      <c r="B23" s="1">
        <v>4516</v>
      </c>
      <c r="C23" s="1">
        <v>1986.1</v>
      </c>
      <c r="D23" s="1">
        <v>8.1116999999999995E-2</v>
      </c>
      <c r="E23" s="1" t="str">
        <f t="shared" si="0"/>
        <v>PGWCX</v>
      </c>
    </row>
    <row r="24" spans="1:5" ht="14.25" customHeight="1" x14ac:dyDescent="0.25">
      <c r="A24" s="3">
        <v>36494</v>
      </c>
      <c r="B24" s="1">
        <v>4516</v>
      </c>
      <c r="C24" s="1">
        <v>2088.1999999999998</v>
      </c>
      <c r="D24" s="1">
        <v>6.6625000000000004E-2</v>
      </c>
      <c r="E24" s="1" t="str">
        <f t="shared" si="0"/>
        <v>PGWCX</v>
      </c>
    </row>
    <row r="25" spans="1:5" ht="14.25" customHeight="1" x14ac:dyDescent="0.25">
      <c r="A25" s="3">
        <v>36525</v>
      </c>
      <c r="B25" s="1">
        <v>4516</v>
      </c>
      <c r="C25" s="1">
        <v>2435.8000000000002</v>
      </c>
      <c r="D25" s="1">
        <v>0.18115600000000001</v>
      </c>
      <c r="E25" s="1" t="str">
        <f t="shared" si="0"/>
        <v>PGWCX</v>
      </c>
    </row>
    <row r="26" spans="1:5" ht="14.25" customHeight="1" x14ac:dyDescent="0.25">
      <c r="A26" s="3">
        <v>36556</v>
      </c>
      <c r="B26" s="1">
        <v>4516</v>
      </c>
      <c r="C26" s="1">
        <v>2316.1</v>
      </c>
      <c r="D26" s="1">
        <v>-4.2285999999999997E-2</v>
      </c>
      <c r="E26" s="1" t="str">
        <f t="shared" si="0"/>
        <v>PGWCX</v>
      </c>
    </row>
    <row r="27" spans="1:5" ht="14.25" customHeight="1" x14ac:dyDescent="0.25">
      <c r="A27" s="3">
        <v>36585</v>
      </c>
      <c r="B27" s="1">
        <v>4516</v>
      </c>
      <c r="C27" s="1">
        <v>2545.6999999999998</v>
      </c>
      <c r="D27" s="1">
        <v>0.102314</v>
      </c>
      <c r="E27" s="1" t="str">
        <f t="shared" si="0"/>
        <v>PGWCX</v>
      </c>
    </row>
    <row r="28" spans="1:5" ht="14.25" customHeight="1" x14ac:dyDescent="0.25">
      <c r="A28" s="3">
        <v>36616</v>
      </c>
      <c r="B28" s="1">
        <v>4516</v>
      </c>
      <c r="C28" s="1">
        <v>2657.3</v>
      </c>
      <c r="D28" s="1">
        <v>4.6133E-2</v>
      </c>
      <c r="E28" s="1" t="str">
        <f t="shared" si="0"/>
        <v>PGWCX</v>
      </c>
    </row>
    <row r="29" spans="1:5" ht="14.25" customHeight="1" x14ac:dyDescent="0.25">
      <c r="A29" s="3">
        <v>36644</v>
      </c>
      <c r="B29" s="1">
        <v>4516</v>
      </c>
      <c r="C29" s="1">
        <v>2415.6</v>
      </c>
      <c r="D29" s="1">
        <v>-9.0309E-2</v>
      </c>
      <c r="E29" s="1" t="str">
        <f t="shared" si="0"/>
        <v>PGWCX</v>
      </c>
    </row>
    <row r="30" spans="1:5" ht="14.25" customHeight="1" x14ac:dyDescent="0.25">
      <c r="A30" s="3">
        <v>36677</v>
      </c>
      <c r="B30" s="1">
        <v>4516</v>
      </c>
      <c r="C30" s="1">
        <v>2206.5</v>
      </c>
      <c r="D30" s="1">
        <v>-8.4180000000000005E-2</v>
      </c>
      <c r="E30" s="1" t="str">
        <f t="shared" si="0"/>
        <v>PGWCX</v>
      </c>
    </row>
    <row r="31" spans="1:5" ht="14.25" customHeight="1" x14ac:dyDescent="0.25">
      <c r="A31" s="3">
        <v>36707</v>
      </c>
      <c r="B31" s="1">
        <v>4516</v>
      </c>
      <c r="C31" s="1">
        <v>2413.6</v>
      </c>
      <c r="D31" s="1">
        <v>9.8573999999999995E-2</v>
      </c>
      <c r="E31" s="1" t="str">
        <f t="shared" si="0"/>
        <v>PGWCX</v>
      </c>
    </row>
    <row r="32" spans="1:5" ht="14.25" customHeight="1" x14ac:dyDescent="0.25">
      <c r="A32" s="3">
        <v>36738</v>
      </c>
      <c r="B32" s="1">
        <v>4516</v>
      </c>
      <c r="C32" s="1">
        <v>2460.6999999999998</v>
      </c>
      <c r="D32" s="1">
        <v>2.0773E-2</v>
      </c>
      <c r="E32" s="1" t="str">
        <f t="shared" si="0"/>
        <v>PGWCX</v>
      </c>
    </row>
    <row r="33" spans="1:5" ht="14.25" customHeight="1" x14ac:dyDescent="0.25">
      <c r="A33" s="3">
        <v>36769</v>
      </c>
      <c r="B33" s="1">
        <v>4516</v>
      </c>
      <c r="C33" s="1">
        <v>2705.8</v>
      </c>
      <c r="D33" s="1">
        <v>0.100622</v>
      </c>
      <c r="E33" s="1" t="str">
        <f t="shared" si="0"/>
        <v>PGWCX</v>
      </c>
    </row>
    <row r="34" spans="1:5" ht="14.25" customHeight="1" x14ac:dyDescent="0.25">
      <c r="A34" s="3">
        <v>36798</v>
      </c>
      <c r="B34" s="1">
        <v>4516</v>
      </c>
      <c r="C34" s="1">
        <v>2487.1</v>
      </c>
      <c r="D34" s="1">
        <v>-8.0379999999999993E-2</v>
      </c>
      <c r="E34" s="1" t="str">
        <f t="shared" si="0"/>
        <v>PGWCX</v>
      </c>
    </row>
    <row r="35" spans="1:5" ht="14.25" customHeight="1" x14ac:dyDescent="0.25">
      <c r="A35" s="3">
        <v>36830</v>
      </c>
      <c r="B35" s="1">
        <v>4516</v>
      </c>
      <c r="C35" s="1">
        <v>2293.1</v>
      </c>
      <c r="D35" s="1">
        <v>-7.4839000000000003E-2</v>
      </c>
      <c r="E35" s="1" t="str">
        <f t="shared" si="0"/>
        <v>PGWCX</v>
      </c>
    </row>
    <row r="36" spans="1:5" ht="14.25" customHeight="1" x14ac:dyDescent="0.25">
      <c r="A36" s="3">
        <v>36860</v>
      </c>
      <c r="B36" s="1">
        <v>4516</v>
      </c>
      <c r="C36" s="1">
        <v>1957.4</v>
      </c>
      <c r="D36" s="1">
        <v>-0.14427999999999999</v>
      </c>
      <c r="E36" s="1" t="str">
        <f t="shared" si="0"/>
        <v>PGWCX</v>
      </c>
    </row>
    <row r="37" spans="1:5" ht="14.25" customHeight="1" x14ac:dyDescent="0.25">
      <c r="A37" s="3">
        <v>36889</v>
      </c>
      <c r="B37" s="1">
        <v>4516</v>
      </c>
      <c r="C37" s="1">
        <v>1996.8</v>
      </c>
      <c r="D37" s="1">
        <v>2.9818999999999998E-2</v>
      </c>
      <c r="E37" s="1" t="str">
        <f t="shared" si="0"/>
        <v>PGWCX</v>
      </c>
    </row>
    <row r="38" spans="1:5" ht="14.25" customHeight="1" x14ac:dyDescent="0.25">
      <c r="A38" s="3">
        <v>36922</v>
      </c>
      <c r="B38" s="1">
        <v>4516</v>
      </c>
      <c r="C38" s="1">
        <v>1957.7</v>
      </c>
      <c r="D38" s="1">
        <v>-1.5195999999999999E-2</v>
      </c>
      <c r="E38" s="1" t="str">
        <f t="shared" si="0"/>
        <v>PGWCX</v>
      </c>
    </row>
    <row r="39" spans="1:5" ht="14.25" customHeight="1" x14ac:dyDescent="0.25">
      <c r="A39" s="3">
        <v>36950</v>
      </c>
      <c r="B39" s="1">
        <v>4516</v>
      </c>
      <c r="C39" s="1">
        <v>1682.8</v>
      </c>
      <c r="D39" s="1">
        <v>-0.13097500000000001</v>
      </c>
      <c r="E39" s="1" t="str">
        <f t="shared" si="0"/>
        <v>PGWCX</v>
      </c>
    </row>
    <row r="40" spans="1:5" ht="14.25" customHeight="1" x14ac:dyDescent="0.25">
      <c r="A40" s="3">
        <v>36980</v>
      </c>
      <c r="B40" s="1">
        <v>4516</v>
      </c>
      <c r="C40" s="1">
        <v>1473.9</v>
      </c>
      <c r="D40" s="1">
        <v>-0.10827199999999999</v>
      </c>
      <c r="E40" s="1" t="str">
        <f t="shared" si="0"/>
        <v>PGWCX</v>
      </c>
    </row>
    <row r="41" spans="1:5" ht="14.25" customHeight="1" x14ac:dyDescent="0.25">
      <c r="A41" s="3">
        <v>37011</v>
      </c>
      <c r="B41" s="1">
        <v>4516</v>
      </c>
      <c r="C41" s="1">
        <v>1606.6</v>
      </c>
      <c r="D41" s="1">
        <v>0.101991</v>
      </c>
      <c r="E41" s="1" t="str">
        <f t="shared" si="0"/>
        <v>PGWCX</v>
      </c>
    </row>
    <row r="42" spans="1:5" ht="14.25" customHeight="1" x14ac:dyDescent="0.25">
      <c r="A42" s="3">
        <v>37042</v>
      </c>
      <c r="B42" s="1">
        <v>4516</v>
      </c>
      <c r="C42" s="1">
        <v>1558.1</v>
      </c>
      <c r="D42" s="1">
        <v>-2.0272999999999999E-2</v>
      </c>
      <c r="E42" s="1" t="str">
        <f t="shared" si="0"/>
        <v>PGWCX</v>
      </c>
    </row>
    <row r="43" spans="1:5" ht="14.25" customHeight="1" x14ac:dyDescent="0.25">
      <c r="A43" s="3">
        <v>37071</v>
      </c>
      <c r="B43" s="1">
        <v>4516</v>
      </c>
      <c r="C43" s="1">
        <v>1487.1</v>
      </c>
      <c r="D43" s="1">
        <v>-3.3287999999999998E-2</v>
      </c>
      <c r="E43" s="1" t="str">
        <f t="shared" si="0"/>
        <v>PGWCX</v>
      </c>
    </row>
    <row r="44" spans="1:5" ht="14.25" customHeight="1" x14ac:dyDescent="0.25">
      <c r="A44" s="3">
        <v>37103</v>
      </c>
      <c r="B44" s="1">
        <v>4516</v>
      </c>
      <c r="C44" s="1">
        <v>1427.1</v>
      </c>
      <c r="D44" s="1">
        <v>-2.7455E-2</v>
      </c>
      <c r="E44" s="1" t="str">
        <f t="shared" si="0"/>
        <v>PGWCX</v>
      </c>
    </row>
    <row r="45" spans="1:5" ht="14.25" customHeight="1" x14ac:dyDescent="0.25">
      <c r="A45" s="3">
        <v>37134</v>
      </c>
      <c r="B45" s="1">
        <v>4516</v>
      </c>
      <c r="C45" s="1">
        <v>1291.0999999999999</v>
      </c>
      <c r="D45" s="1">
        <v>-8.0382999999999996E-2</v>
      </c>
      <c r="E45" s="1" t="str">
        <f t="shared" si="0"/>
        <v>PGWCX</v>
      </c>
    </row>
    <row r="46" spans="1:5" ht="14.25" customHeight="1" x14ac:dyDescent="0.25">
      <c r="A46" s="3">
        <v>37162</v>
      </c>
      <c r="B46" s="1">
        <v>4516</v>
      </c>
      <c r="C46" s="1">
        <v>1143.0999999999999</v>
      </c>
      <c r="D46" s="1">
        <v>-9.5213000000000006E-2</v>
      </c>
      <c r="E46" s="1" t="str">
        <f t="shared" si="0"/>
        <v>PGWCX</v>
      </c>
    </row>
    <row r="47" spans="1:5" ht="14.25" customHeight="1" x14ac:dyDescent="0.25">
      <c r="A47" s="3">
        <v>37195</v>
      </c>
      <c r="B47" s="1">
        <v>4516</v>
      </c>
      <c r="C47" s="1">
        <v>1147.7</v>
      </c>
      <c r="D47" s="1">
        <v>1.8976E-2</v>
      </c>
      <c r="E47" s="1" t="str">
        <f t="shared" si="0"/>
        <v>PGWCX</v>
      </c>
    </row>
    <row r="48" spans="1:5" ht="14.25" customHeight="1" x14ac:dyDescent="0.25">
      <c r="A48" s="3">
        <v>37225</v>
      </c>
      <c r="B48" s="1">
        <v>4516</v>
      </c>
      <c r="C48" s="1">
        <v>1223.5</v>
      </c>
      <c r="D48" s="1">
        <v>7.9571000000000003E-2</v>
      </c>
      <c r="E48" s="1" t="str">
        <f t="shared" si="0"/>
        <v>PGWCX</v>
      </c>
    </row>
    <row r="49" spans="1:5" ht="14.25" customHeight="1" x14ac:dyDescent="0.25">
      <c r="A49" s="3">
        <v>37256</v>
      </c>
      <c r="B49" s="1">
        <v>4516</v>
      </c>
      <c r="C49" s="1">
        <v>1187.7</v>
      </c>
      <c r="D49" s="1">
        <v>-6.9030000000000003E-3</v>
      </c>
      <c r="E49" s="1" t="str">
        <f t="shared" si="0"/>
        <v>PGWCX</v>
      </c>
    </row>
    <row r="50" spans="1:5" ht="14.25" customHeight="1" x14ac:dyDescent="0.25">
      <c r="A50" s="3">
        <v>37287</v>
      </c>
      <c r="B50" s="1">
        <v>4516</v>
      </c>
      <c r="C50" s="1">
        <v>1146.4000000000001</v>
      </c>
      <c r="D50" s="1">
        <v>-1.8577E-2</v>
      </c>
      <c r="E50" s="1" t="str">
        <f t="shared" si="0"/>
        <v>PGWCX</v>
      </c>
    </row>
    <row r="51" spans="1:5" ht="14.25" customHeight="1" x14ac:dyDescent="0.25">
      <c r="A51" s="3">
        <v>37315</v>
      </c>
      <c r="B51" s="1">
        <v>4516</v>
      </c>
      <c r="C51" s="1">
        <v>1092.9000000000001</v>
      </c>
      <c r="D51" s="1">
        <v>-3.0287000000000001E-2</v>
      </c>
      <c r="E51" s="1" t="str">
        <f t="shared" si="0"/>
        <v>PGWCX</v>
      </c>
    </row>
    <row r="52" spans="1:5" ht="14.25" customHeight="1" x14ac:dyDescent="0.25">
      <c r="A52" s="3">
        <v>37343</v>
      </c>
      <c r="B52" s="1">
        <v>4516</v>
      </c>
      <c r="C52" s="1">
        <v>1121</v>
      </c>
      <c r="D52" s="1">
        <v>4.3503E-2</v>
      </c>
      <c r="E52" s="1" t="str">
        <f t="shared" si="0"/>
        <v>PGWCX</v>
      </c>
    </row>
    <row r="53" spans="1:5" ht="14.25" customHeight="1" x14ac:dyDescent="0.25">
      <c r="A53" s="3">
        <v>37376</v>
      </c>
      <c r="B53" s="1">
        <v>4516</v>
      </c>
      <c r="C53" s="1">
        <v>1029.9000000000001</v>
      </c>
      <c r="D53" s="1">
        <v>-5.8791999999999997E-2</v>
      </c>
      <c r="E53" s="1" t="str">
        <f t="shared" si="0"/>
        <v>PGWCX</v>
      </c>
    </row>
    <row r="54" spans="1:5" ht="14.25" customHeight="1" x14ac:dyDescent="0.25">
      <c r="A54" s="3">
        <v>37407</v>
      </c>
      <c r="B54" s="1">
        <v>4516</v>
      </c>
      <c r="C54" s="1">
        <v>987.8</v>
      </c>
      <c r="D54" s="1">
        <v>-2.0442999999999999E-2</v>
      </c>
      <c r="E54" s="1" t="str">
        <f t="shared" si="0"/>
        <v>PGWCX</v>
      </c>
    </row>
    <row r="55" spans="1:5" ht="14.25" customHeight="1" x14ac:dyDescent="0.25">
      <c r="A55" s="3">
        <v>37435</v>
      </c>
      <c r="B55" s="1">
        <v>4516</v>
      </c>
      <c r="C55" s="1">
        <v>880.7</v>
      </c>
      <c r="D55" s="1">
        <v>-8.9274999999999993E-2</v>
      </c>
      <c r="E55" s="1" t="str">
        <f t="shared" si="0"/>
        <v>PGWCX</v>
      </c>
    </row>
    <row r="56" spans="1:5" ht="14.25" customHeight="1" x14ac:dyDescent="0.25">
      <c r="A56" s="3">
        <v>37468</v>
      </c>
      <c r="B56" s="1">
        <v>4516</v>
      </c>
      <c r="C56" s="1">
        <v>777.9</v>
      </c>
      <c r="D56" s="1">
        <v>-8.1476999999999994E-2</v>
      </c>
      <c r="E56" s="1" t="str">
        <f t="shared" si="0"/>
        <v>PGWCX</v>
      </c>
    </row>
    <row r="57" spans="1:5" ht="14.25" customHeight="1" x14ac:dyDescent="0.25">
      <c r="A57" s="3">
        <v>37498</v>
      </c>
      <c r="B57" s="1">
        <v>4516</v>
      </c>
      <c r="C57" s="1">
        <v>775.5</v>
      </c>
      <c r="D57" s="1">
        <v>1.1088000000000001E-2</v>
      </c>
      <c r="E57" s="1" t="str">
        <f t="shared" si="0"/>
        <v>PGWCX</v>
      </c>
    </row>
    <row r="58" spans="1:5" ht="14.25" customHeight="1" x14ac:dyDescent="0.25">
      <c r="A58" s="3">
        <v>37529</v>
      </c>
      <c r="B58" s="1">
        <v>4516</v>
      </c>
      <c r="C58" s="1">
        <v>684.2</v>
      </c>
      <c r="D58" s="1">
        <v>-0.10281</v>
      </c>
      <c r="E58" s="1" t="str">
        <f t="shared" si="0"/>
        <v>PGWCX</v>
      </c>
    </row>
    <row r="59" spans="1:5" ht="14.25" customHeight="1" x14ac:dyDescent="0.25">
      <c r="A59" s="3">
        <v>37560</v>
      </c>
      <c r="B59" s="1">
        <v>4516</v>
      </c>
      <c r="C59" s="1">
        <v>724.5</v>
      </c>
      <c r="D59" s="1">
        <v>6.6462999999999994E-2</v>
      </c>
      <c r="E59" s="1" t="str">
        <f t="shared" si="0"/>
        <v>PGWCX</v>
      </c>
    </row>
    <row r="60" spans="1:5" ht="14.25" customHeight="1" x14ac:dyDescent="0.25">
      <c r="A60" s="3">
        <v>37589</v>
      </c>
      <c r="B60" s="1">
        <v>4516</v>
      </c>
      <c r="C60" s="1">
        <v>720.8</v>
      </c>
      <c r="D60" s="1">
        <v>1.0029E-2</v>
      </c>
      <c r="E60" s="1" t="str">
        <f t="shared" si="0"/>
        <v>PGWCX</v>
      </c>
    </row>
    <row r="61" spans="1:5" ht="14.25" customHeight="1" x14ac:dyDescent="0.25">
      <c r="A61" s="3">
        <v>37621</v>
      </c>
      <c r="B61" s="1">
        <v>4516</v>
      </c>
      <c r="C61" s="1">
        <v>662.6</v>
      </c>
      <c r="D61" s="1">
        <v>-6.0992999999999999E-2</v>
      </c>
      <c r="E61" s="1" t="str">
        <f t="shared" si="0"/>
        <v>PGWCX</v>
      </c>
    </row>
    <row r="62" spans="1:5" ht="14.25" customHeight="1" x14ac:dyDescent="0.25">
      <c r="A62" s="3">
        <v>37652</v>
      </c>
      <c r="B62" s="1">
        <v>4516</v>
      </c>
      <c r="C62" s="1">
        <v>634.6</v>
      </c>
      <c r="D62" s="1">
        <v>-2.5680000000000001E-2</v>
      </c>
      <c r="E62" s="1" t="str">
        <f t="shared" si="0"/>
        <v>PGWCX</v>
      </c>
    </row>
    <row r="63" spans="1:5" ht="14.25" customHeight="1" x14ac:dyDescent="0.25">
      <c r="A63" s="3">
        <v>37680</v>
      </c>
      <c r="B63" s="1">
        <v>4516</v>
      </c>
      <c r="C63" s="1">
        <v>611.5</v>
      </c>
      <c r="D63" s="1">
        <v>-1.5504E-2</v>
      </c>
      <c r="E63" s="1" t="str">
        <f t="shared" si="0"/>
        <v>PGWCX</v>
      </c>
    </row>
    <row r="64" spans="1:5" ht="14.25" customHeight="1" x14ac:dyDescent="0.25">
      <c r="A64" s="3">
        <v>37711</v>
      </c>
      <c r="B64" s="1">
        <v>4516</v>
      </c>
      <c r="C64" s="1">
        <v>607.20000000000005</v>
      </c>
      <c r="D64" s="1">
        <v>1.1024000000000001E-2</v>
      </c>
      <c r="E64" s="1" t="str">
        <f t="shared" si="0"/>
        <v>PGWCX</v>
      </c>
    </row>
    <row r="65" spans="1:5" ht="14.25" customHeight="1" x14ac:dyDescent="0.25">
      <c r="A65" s="3">
        <v>37741</v>
      </c>
      <c r="B65" s="1">
        <v>4516</v>
      </c>
      <c r="C65" s="1">
        <v>635.9</v>
      </c>
      <c r="D65" s="1">
        <v>6.3084000000000001E-2</v>
      </c>
      <c r="E65" s="1" t="str">
        <f t="shared" si="0"/>
        <v>PGWCX</v>
      </c>
    </row>
    <row r="66" spans="1:5" ht="14.25" customHeight="1" x14ac:dyDescent="0.25">
      <c r="A66" s="3">
        <v>37771</v>
      </c>
      <c r="B66" s="1">
        <v>4516</v>
      </c>
      <c r="C66" s="1">
        <v>649.1</v>
      </c>
      <c r="D66" s="1">
        <v>3.6630000000000003E-2</v>
      </c>
      <c r="E66" s="1" t="str">
        <f t="shared" si="0"/>
        <v>PGWCX</v>
      </c>
    </row>
    <row r="67" spans="1:5" ht="14.25" customHeight="1" x14ac:dyDescent="0.25">
      <c r="A67" s="3">
        <v>37802</v>
      </c>
      <c r="B67" s="1">
        <v>4516</v>
      </c>
      <c r="C67" s="1">
        <v>648.9</v>
      </c>
      <c r="D67" s="1">
        <v>1.6254000000000001E-2</v>
      </c>
      <c r="E67" s="1" t="str">
        <f t="shared" si="0"/>
        <v>PGWCX</v>
      </c>
    </row>
    <row r="68" spans="1:5" ht="14.25" customHeight="1" x14ac:dyDescent="0.25">
      <c r="A68" s="3">
        <v>37833</v>
      </c>
      <c r="B68" s="1">
        <v>4516</v>
      </c>
      <c r="C68" s="1">
        <v>658.8</v>
      </c>
      <c r="D68" s="1">
        <v>3.1293000000000001E-2</v>
      </c>
      <c r="E68" s="1" t="str">
        <f t="shared" si="0"/>
        <v>PGWCX</v>
      </c>
    </row>
    <row r="69" spans="1:5" ht="14.25" customHeight="1" x14ac:dyDescent="0.25">
      <c r="A69" s="3">
        <v>37862</v>
      </c>
      <c r="B69" s="1">
        <v>4516</v>
      </c>
      <c r="C69" s="1">
        <v>655.29999999999995</v>
      </c>
      <c r="D69" s="1">
        <v>1.3486E-2</v>
      </c>
      <c r="E69" s="1" t="str">
        <f t="shared" si="0"/>
        <v>PGWCX</v>
      </c>
    </row>
    <row r="70" spans="1:5" ht="14.25" customHeight="1" x14ac:dyDescent="0.25">
      <c r="A70" s="3">
        <v>37894</v>
      </c>
      <c r="B70" s="1">
        <v>4516</v>
      </c>
      <c r="C70" s="1">
        <v>632.1</v>
      </c>
      <c r="D70" s="1">
        <v>-1.9295E-2</v>
      </c>
      <c r="E70" s="1" t="str">
        <f t="shared" si="0"/>
        <v>PGWCX</v>
      </c>
    </row>
    <row r="71" spans="1:5" ht="14.25" customHeight="1" x14ac:dyDescent="0.25">
      <c r="A71" s="3">
        <v>37925</v>
      </c>
      <c r="B71" s="1">
        <v>4516</v>
      </c>
      <c r="C71" s="1">
        <v>666.7</v>
      </c>
      <c r="D71" s="1">
        <v>7.3270000000000002E-2</v>
      </c>
      <c r="E71" s="1" t="str">
        <f t="shared" si="0"/>
        <v>PGWCX</v>
      </c>
    </row>
    <row r="72" spans="1:5" ht="14.25" customHeight="1" x14ac:dyDescent="0.25">
      <c r="A72" s="3">
        <v>37953</v>
      </c>
      <c r="B72" s="1">
        <v>4516</v>
      </c>
      <c r="C72" s="1">
        <v>663</v>
      </c>
      <c r="D72" s="1">
        <v>1.1377999999999999E-2</v>
      </c>
      <c r="E72" s="1" t="str">
        <f t="shared" si="0"/>
        <v>PGWCX</v>
      </c>
    </row>
    <row r="73" spans="1:5" ht="14.25" customHeight="1" x14ac:dyDescent="0.25">
      <c r="A73" s="3">
        <v>37986</v>
      </c>
      <c r="B73" s="1">
        <v>4516</v>
      </c>
      <c r="C73" s="1">
        <v>666.5</v>
      </c>
      <c r="D73" s="1">
        <v>2.75E-2</v>
      </c>
      <c r="E73" s="1" t="str">
        <f t="shared" si="0"/>
        <v>PGWCX</v>
      </c>
    </row>
    <row r="74" spans="1:5" ht="14.25" customHeight="1" x14ac:dyDescent="0.25">
      <c r="A74" s="3">
        <v>38016</v>
      </c>
      <c r="B74" s="1">
        <v>4516</v>
      </c>
      <c r="C74" s="1">
        <v>681.9</v>
      </c>
      <c r="D74" s="1">
        <v>3.9537999999999997E-2</v>
      </c>
      <c r="E74" s="1" t="str">
        <f t="shared" si="0"/>
        <v>PGWCX</v>
      </c>
    </row>
    <row r="75" spans="1:5" ht="14.25" customHeight="1" x14ac:dyDescent="0.25">
      <c r="A75" s="3">
        <v>38044</v>
      </c>
      <c r="B75" s="1">
        <v>4516</v>
      </c>
      <c r="C75" s="1">
        <v>676.6</v>
      </c>
      <c r="D75" s="1">
        <v>1.0532E-2</v>
      </c>
      <c r="E75" s="1" t="str">
        <f t="shared" si="0"/>
        <v>PGWCX</v>
      </c>
    </row>
    <row r="76" spans="1:5" ht="14.25" customHeight="1" x14ac:dyDescent="0.25">
      <c r="A76" s="3">
        <v>38077</v>
      </c>
      <c r="B76" s="1">
        <v>4516</v>
      </c>
      <c r="C76" s="1">
        <v>653.4</v>
      </c>
      <c r="D76" s="1">
        <v>-1.1580999999999999E-2</v>
      </c>
      <c r="E76" s="1" t="str">
        <f t="shared" si="0"/>
        <v>PGWCX</v>
      </c>
    </row>
    <row r="77" spans="1:5" ht="14.25" customHeight="1" x14ac:dyDescent="0.25">
      <c r="A77" s="3">
        <v>38107</v>
      </c>
      <c r="B77" s="1">
        <v>4516</v>
      </c>
      <c r="C77" s="1">
        <v>615.5</v>
      </c>
      <c r="D77" s="1">
        <v>-3.8663999999999997E-2</v>
      </c>
      <c r="E77" s="1" t="str">
        <f t="shared" si="0"/>
        <v>PGWCX</v>
      </c>
    </row>
    <row r="78" spans="1:5" ht="14.25" customHeight="1" x14ac:dyDescent="0.25">
      <c r="A78" s="3">
        <v>38135</v>
      </c>
      <c r="B78" s="1">
        <v>4516</v>
      </c>
      <c r="C78" s="1">
        <v>611.6</v>
      </c>
      <c r="D78" s="1">
        <v>1.8282E-2</v>
      </c>
      <c r="E78" s="1" t="str">
        <f t="shared" si="0"/>
        <v>PGWCX</v>
      </c>
    </row>
    <row r="79" spans="1:5" ht="14.25" customHeight="1" x14ac:dyDescent="0.25">
      <c r="A79" s="3">
        <v>38168</v>
      </c>
      <c r="B79" s="1">
        <v>4516</v>
      </c>
      <c r="C79" s="1">
        <v>611.79999999999995</v>
      </c>
      <c r="D79" s="1">
        <v>1.9748999999999999E-2</v>
      </c>
      <c r="E79" s="1" t="str">
        <f t="shared" si="0"/>
        <v>PGWCX</v>
      </c>
    </row>
    <row r="80" spans="1:5" ht="14.25" customHeight="1" x14ac:dyDescent="0.25">
      <c r="A80" s="3">
        <v>38198</v>
      </c>
      <c r="B80" s="1">
        <v>4516</v>
      </c>
      <c r="C80" s="1">
        <v>564.9</v>
      </c>
      <c r="D80" s="1">
        <v>-5.8685000000000001E-2</v>
      </c>
      <c r="E80" s="1" t="str">
        <f t="shared" si="0"/>
        <v>PGWCX</v>
      </c>
    </row>
    <row r="81" spans="1:5" ht="14.25" customHeight="1" x14ac:dyDescent="0.25">
      <c r="A81" s="3">
        <v>38230</v>
      </c>
      <c r="B81" s="1">
        <v>4516</v>
      </c>
      <c r="C81" s="1">
        <v>544.70000000000005</v>
      </c>
      <c r="D81" s="1">
        <v>-1.4963000000000001E-2</v>
      </c>
      <c r="E81" s="1" t="str">
        <f t="shared" si="0"/>
        <v>PGWCX</v>
      </c>
    </row>
    <row r="82" spans="1:5" ht="14.25" customHeight="1" x14ac:dyDescent="0.25">
      <c r="A82" s="3">
        <v>38260</v>
      </c>
      <c r="B82" s="1">
        <v>4516</v>
      </c>
      <c r="C82" s="1">
        <v>546.4</v>
      </c>
      <c r="D82" s="1">
        <v>2.4050999999999999E-2</v>
      </c>
      <c r="E82" s="1" t="str">
        <f t="shared" si="0"/>
        <v>PGWCX</v>
      </c>
    </row>
    <row r="83" spans="1:5" ht="14.25" customHeight="1" x14ac:dyDescent="0.25">
      <c r="A83" s="3">
        <v>38289</v>
      </c>
      <c r="B83" s="1">
        <v>4516</v>
      </c>
      <c r="C83" s="1">
        <v>542.9</v>
      </c>
      <c r="D83" s="1">
        <v>1.2361E-2</v>
      </c>
      <c r="E83" s="1" t="str">
        <f t="shared" si="0"/>
        <v>PGWCX</v>
      </c>
    </row>
    <row r="84" spans="1:5" ht="14.25" customHeight="1" x14ac:dyDescent="0.25">
      <c r="A84" s="3">
        <v>38321</v>
      </c>
      <c r="B84" s="1">
        <v>4516</v>
      </c>
      <c r="C84" s="1">
        <v>552.1</v>
      </c>
      <c r="D84" s="1">
        <v>4.0904000000000003E-2</v>
      </c>
      <c r="E84" s="1" t="str">
        <f t="shared" si="0"/>
        <v>PGWCX</v>
      </c>
    </row>
    <row r="85" spans="1:5" ht="14.25" customHeight="1" x14ac:dyDescent="0.25">
      <c r="A85" s="3">
        <v>38352</v>
      </c>
      <c r="B85" s="1">
        <v>4516</v>
      </c>
      <c r="C85" s="1">
        <v>562.20000000000005</v>
      </c>
      <c r="D85" s="1">
        <v>4.8093999999999998E-2</v>
      </c>
      <c r="E85" s="1" t="str">
        <f t="shared" si="0"/>
        <v>PGWCX</v>
      </c>
    </row>
    <row r="86" spans="1:5" ht="14.25" customHeight="1" x14ac:dyDescent="0.25">
      <c r="A86" s="3">
        <v>38383</v>
      </c>
      <c r="B86" s="1">
        <v>4516</v>
      </c>
      <c r="C86" s="1">
        <v>528.5</v>
      </c>
      <c r="D86" s="1">
        <v>-3.9731000000000002E-2</v>
      </c>
      <c r="E86" s="1" t="str">
        <f t="shared" si="0"/>
        <v>PGWCX</v>
      </c>
    </row>
    <row r="87" spans="1:5" ht="14.25" customHeight="1" x14ac:dyDescent="0.25">
      <c r="A87" s="3">
        <v>38411</v>
      </c>
      <c r="B87" s="1">
        <v>4516</v>
      </c>
      <c r="C87" s="1">
        <v>518.5</v>
      </c>
      <c r="D87" s="1">
        <v>2.3310000000000002E-3</v>
      </c>
      <c r="E87" s="1" t="str">
        <f t="shared" si="0"/>
        <v>PGWCX</v>
      </c>
    </row>
    <row r="88" spans="1:5" ht="14.25" customHeight="1" x14ac:dyDescent="0.25">
      <c r="A88" s="3">
        <v>38442</v>
      </c>
      <c r="B88" s="1">
        <v>4516</v>
      </c>
      <c r="C88" s="1">
        <v>497.5</v>
      </c>
      <c r="D88" s="1">
        <v>-1.5698E-2</v>
      </c>
      <c r="E88" s="1" t="str">
        <f t="shared" si="0"/>
        <v>PGWCX</v>
      </c>
    </row>
    <row r="89" spans="1:5" ht="14.25" customHeight="1" x14ac:dyDescent="0.25">
      <c r="A89" s="3">
        <v>38471</v>
      </c>
      <c r="B89" s="1">
        <v>4516</v>
      </c>
      <c r="C89" s="1">
        <v>477.3</v>
      </c>
      <c r="D89" s="1">
        <v>-2.0083E-2</v>
      </c>
      <c r="E89" s="1" t="str">
        <f t="shared" si="0"/>
        <v>PGWCX</v>
      </c>
    </row>
    <row r="90" spans="1:5" ht="14.25" customHeight="1" x14ac:dyDescent="0.25">
      <c r="A90" s="3">
        <v>38503</v>
      </c>
      <c r="B90" s="1">
        <v>4516</v>
      </c>
      <c r="C90" s="1">
        <v>492.1</v>
      </c>
      <c r="D90" s="1">
        <v>5.1838000000000002E-2</v>
      </c>
      <c r="E90" s="1" t="str">
        <f t="shared" si="0"/>
        <v>PGWCX</v>
      </c>
    </row>
    <row r="91" spans="1:5" ht="14.25" customHeight="1" x14ac:dyDescent="0.25">
      <c r="A91" s="3">
        <v>38533</v>
      </c>
      <c r="B91" s="1">
        <v>4516</v>
      </c>
      <c r="C91" s="1">
        <v>481.3</v>
      </c>
      <c r="D91" s="1">
        <v>-1.1460000000000001E-3</v>
      </c>
      <c r="E91" s="1" t="str">
        <f t="shared" si="0"/>
        <v>PGWCX</v>
      </c>
    </row>
    <row r="92" spans="1:5" ht="14.25" customHeight="1" x14ac:dyDescent="0.25">
      <c r="A92" s="3">
        <v>38562</v>
      </c>
      <c r="B92" s="1">
        <v>4516</v>
      </c>
      <c r="C92" s="1">
        <v>493.9</v>
      </c>
      <c r="D92" s="1">
        <v>4.7619000000000002E-2</v>
      </c>
      <c r="E92" s="1" t="str">
        <f t="shared" si="0"/>
        <v>PGWCX</v>
      </c>
    </row>
    <row r="93" spans="1:5" ht="14.25" customHeight="1" x14ac:dyDescent="0.25">
      <c r="A93" s="3">
        <v>38595</v>
      </c>
      <c r="B93" s="1">
        <v>4516</v>
      </c>
      <c r="C93" s="1">
        <v>471</v>
      </c>
      <c r="D93" s="1">
        <v>-2.3549E-2</v>
      </c>
      <c r="E93" s="1" t="str">
        <f t="shared" si="0"/>
        <v>PGWCX</v>
      </c>
    </row>
    <row r="94" spans="1:5" ht="14.25" customHeight="1" x14ac:dyDescent="0.25">
      <c r="A94" s="3">
        <v>38625</v>
      </c>
      <c r="B94" s="1">
        <v>4516</v>
      </c>
      <c r="C94" s="1">
        <v>463.9</v>
      </c>
      <c r="D94" s="1">
        <v>7.8519999999999996E-3</v>
      </c>
      <c r="E94" s="1" t="str">
        <f t="shared" si="0"/>
        <v>PGWCX</v>
      </c>
    </row>
    <row r="95" spans="1:5" ht="14.25" customHeight="1" x14ac:dyDescent="0.25">
      <c r="A95" s="3">
        <v>38656</v>
      </c>
      <c r="B95" s="1">
        <v>4516</v>
      </c>
      <c r="C95" s="1">
        <v>454.1</v>
      </c>
      <c r="D95" s="1">
        <v>-1.6689999999999999E-3</v>
      </c>
      <c r="E95" s="1" t="str">
        <f t="shared" si="0"/>
        <v>PGWCX</v>
      </c>
    </row>
    <row r="96" spans="1:5" ht="14.25" customHeight="1" x14ac:dyDescent="0.25">
      <c r="A96" s="3">
        <v>38686</v>
      </c>
      <c r="B96" s="1">
        <v>4516</v>
      </c>
      <c r="C96" s="1">
        <v>462.8</v>
      </c>
      <c r="D96" s="1">
        <v>3.7904E-2</v>
      </c>
      <c r="E96" s="1" t="str">
        <f t="shared" si="0"/>
        <v>PGWCX</v>
      </c>
    </row>
    <row r="97" spans="1:5" ht="14.25" customHeight="1" x14ac:dyDescent="0.25">
      <c r="A97" s="3">
        <v>38716</v>
      </c>
      <c r="B97" s="1">
        <v>4516</v>
      </c>
      <c r="C97" s="1">
        <v>452.3</v>
      </c>
      <c r="D97" s="1">
        <v>5.3709999999999999E-3</v>
      </c>
      <c r="E97" s="1" t="str">
        <f t="shared" si="0"/>
        <v>PGWCX</v>
      </c>
    </row>
    <row r="98" spans="1:5" ht="14.25" customHeight="1" x14ac:dyDescent="0.25">
      <c r="A98" s="3">
        <v>38748</v>
      </c>
      <c r="B98" s="1">
        <v>4516</v>
      </c>
      <c r="C98" s="1">
        <v>460.2</v>
      </c>
      <c r="D98" s="1">
        <v>4.0598000000000002E-2</v>
      </c>
      <c r="E98" s="1" t="str">
        <f t="shared" si="0"/>
        <v>PGWCX</v>
      </c>
    </row>
    <row r="99" spans="1:5" ht="14.25" customHeight="1" x14ac:dyDescent="0.25">
      <c r="A99" s="3">
        <v>38776</v>
      </c>
      <c r="B99" s="1">
        <v>4516</v>
      </c>
      <c r="C99" s="1">
        <v>450</v>
      </c>
      <c r="D99" s="1">
        <v>-4.62E-3</v>
      </c>
      <c r="E99" s="1" t="str">
        <f t="shared" si="0"/>
        <v>PGWCX</v>
      </c>
    </row>
    <row r="100" spans="1:5" ht="14.25" customHeight="1" x14ac:dyDescent="0.25">
      <c r="A100" s="3">
        <v>38807</v>
      </c>
      <c r="B100" s="1">
        <v>4516</v>
      </c>
      <c r="C100" s="1">
        <v>445.4</v>
      </c>
      <c r="D100" s="1">
        <v>9.7990000000000004E-3</v>
      </c>
      <c r="E100" s="1" t="str">
        <f t="shared" si="0"/>
        <v>PGWCX</v>
      </c>
    </row>
    <row r="101" spans="1:5" ht="14.25" customHeight="1" x14ac:dyDescent="0.25">
      <c r="A101" s="3">
        <v>38835</v>
      </c>
      <c r="B101" s="1">
        <v>4516</v>
      </c>
      <c r="C101" s="1">
        <v>449</v>
      </c>
      <c r="D101" s="1">
        <v>2.4004000000000001E-2</v>
      </c>
      <c r="E101" s="1" t="str">
        <f t="shared" si="0"/>
        <v>PGWCX</v>
      </c>
    </row>
    <row r="102" spans="1:5" ht="14.25" customHeight="1" x14ac:dyDescent="0.25">
      <c r="A102" s="3">
        <v>38868</v>
      </c>
      <c r="B102" s="1">
        <v>4516</v>
      </c>
      <c r="C102" s="1">
        <v>421.9</v>
      </c>
      <c r="D102" s="1">
        <v>-4.4887999999999997E-2</v>
      </c>
      <c r="E102" s="1" t="str">
        <f t="shared" si="0"/>
        <v>PGWCX</v>
      </c>
    </row>
    <row r="103" spans="1:5" ht="14.25" customHeight="1" x14ac:dyDescent="0.25">
      <c r="A103" s="3">
        <v>38898</v>
      </c>
      <c r="B103" s="1">
        <v>4516</v>
      </c>
      <c r="C103" s="1">
        <v>412.2</v>
      </c>
      <c r="D103" s="1">
        <v>-5.2220000000000001E-3</v>
      </c>
      <c r="E103" s="1" t="str">
        <f t="shared" si="0"/>
        <v>PGWCX</v>
      </c>
    </row>
    <row r="104" spans="1:5" ht="14.25" customHeight="1" x14ac:dyDescent="0.25">
      <c r="A104" s="3">
        <v>38929</v>
      </c>
      <c r="B104" s="1">
        <v>4516</v>
      </c>
      <c r="C104" s="1">
        <v>398.7</v>
      </c>
      <c r="D104" s="1">
        <v>-1.6272999999999999E-2</v>
      </c>
      <c r="E104" s="1" t="str">
        <f t="shared" si="0"/>
        <v>PGWCX</v>
      </c>
    </row>
    <row r="105" spans="1:5" ht="14.25" customHeight="1" x14ac:dyDescent="0.25">
      <c r="A105" s="3">
        <v>38960</v>
      </c>
      <c r="B105" s="1">
        <v>4516</v>
      </c>
      <c r="C105" s="1">
        <v>401.4</v>
      </c>
      <c r="D105" s="1">
        <v>2.7747999999999998E-2</v>
      </c>
      <c r="E105" s="1" t="str">
        <f t="shared" si="0"/>
        <v>PGWCX</v>
      </c>
    </row>
    <row r="106" spans="1:5" ht="14.25" customHeight="1" x14ac:dyDescent="0.25">
      <c r="A106" s="3">
        <v>38989</v>
      </c>
      <c r="B106" s="1">
        <v>4516</v>
      </c>
      <c r="C106" s="1">
        <v>407.7</v>
      </c>
      <c r="D106" s="1">
        <v>3.8421999999999998E-2</v>
      </c>
      <c r="E106" s="1" t="str">
        <f t="shared" si="0"/>
        <v>PGWCX</v>
      </c>
    </row>
    <row r="107" spans="1:5" ht="14.25" customHeight="1" x14ac:dyDescent="0.25">
      <c r="A107" s="3">
        <v>39021</v>
      </c>
      <c r="B107" s="1">
        <v>4516</v>
      </c>
      <c r="C107" s="1">
        <v>413.7</v>
      </c>
      <c r="D107" s="1">
        <v>3.0499999999999999E-2</v>
      </c>
      <c r="E107" s="1" t="str">
        <f t="shared" si="0"/>
        <v>PGWCX</v>
      </c>
    </row>
    <row r="108" spans="1:5" ht="14.25" customHeight="1" x14ac:dyDescent="0.25">
      <c r="A108" s="3">
        <v>39051</v>
      </c>
      <c r="B108" s="1">
        <v>4516</v>
      </c>
      <c r="C108" s="1">
        <v>421.5</v>
      </c>
      <c r="D108" s="1">
        <v>3.2994000000000002E-2</v>
      </c>
      <c r="E108" s="1" t="str">
        <f t="shared" si="0"/>
        <v>PGWCX</v>
      </c>
    </row>
    <row r="109" spans="1:5" ht="14.25" customHeight="1" x14ac:dyDescent="0.25">
      <c r="A109" s="3">
        <v>39080</v>
      </c>
      <c r="B109" s="1">
        <v>4516</v>
      </c>
      <c r="C109" s="1">
        <v>415.4</v>
      </c>
      <c r="D109" s="1">
        <v>2.8180000000000002E-3</v>
      </c>
      <c r="E109" s="1" t="str">
        <f t="shared" si="0"/>
        <v>PGWCX</v>
      </c>
    </row>
    <row r="110" spans="1:5" ht="14.25" customHeight="1" x14ac:dyDescent="0.25">
      <c r="A110" s="3">
        <v>39113</v>
      </c>
      <c r="B110" s="1">
        <v>4516</v>
      </c>
      <c r="C110" s="1">
        <v>420.8</v>
      </c>
      <c r="D110" s="1">
        <v>2.8103E-2</v>
      </c>
      <c r="E110" s="1" t="str">
        <f t="shared" si="0"/>
        <v>PGWCX</v>
      </c>
    </row>
    <row r="111" spans="1:5" ht="14.25" customHeight="1" x14ac:dyDescent="0.25">
      <c r="A111" s="3">
        <v>39141</v>
      </c>
      <c r="B111" s="1">
        <v>4516</v>
      </c>
      <c r="C111" s="1">
        <v>412.6</v>
      </c>
      <c r="D111" s="1">
        <v>-1.0023000000000001E-2</v>
      </c>
      <c r="E111" s="1" t="str">
        <f t="shared" si="0"/>
        <v>PGWCX</v>
      </c>
    </row>
    <row r="112" spans="1:5" ht="14.25" customHeight="1" x14ac:dyDescent="0.25">
      <c r="A112" s="3">
        <v>39171</v>
      </c>
      <c r="B112" s="1">
        <v>4516</v>
      </c>
      <c r="C112" s="1">
        <v>412</v>
      </c>
      <c r="D112" s="1">
        <v>1.2885000000000001E-2</v>
      </c>
      <c r="E112" s="1" t="str">
        <f t="shared" si="0"/>
        <v>PGWCX</v>
      </c>
    </row>
    <row r="113" spans="1:5" ht="14.25" customHeight="1" x14ac:dyDescent="0.25">
      <c r="A113" s="3">
        <v>39202</v>
      </c>
      <c r="B113" s="1">
        <v>4516</v>
      </c>
      <c r="C113" s="1">
        <v>424.3</v>
      </c>
      <c r="D113" s="1">
        <v>4.2254E-2</v>
      </c>
      <c r="E113" s="1" t="str">
        <f t="shared" si="0"/>
        <v>PGWCX</v>
      </c>
    </row>
    <row r="114" spans="1:5" ht="14.25" customHeight="1" x14ac:dyDescent="0.25">
      <c r="A114" s="3">
        <v>39233</v>
      </c>
      <c r="B114" s="1">
        <v>4516</v>
      </c>
      <c r="C114" s="1">
        <v>435.4</v>
      </c>
      <c r="D114" s="1">
        <v>3.9669000000000003E-2</v>
      </c>
      <c r="E114" s="1" t="str">
        <f t="shared" si="0"/>
        <v>PGWCX</v>
      </c>
    </row>
    <row r="115" spans="1:5" ht="14.25" customHeight="1" x14ac:dyDescent="0.25">
      <c r="A115" s="3">
        <v>39262</v>
      </c>
      <c r="B115" s="1">
        <v>4516</v>
      </c>
      <c r="C115" s="1">
        <v>426.3</v>
      </c>
      <c r="D115" s="1">
        <v>-1.1320999999999999E-2</v>
      </c>
      <c r="E115" s="1" t="str">
        <f t="shared" si="0"/>
        <v>PGWCX</v>
      </c>
    </row>
    <row r="116" spans="1:5" ht="14.25" customHeight="1" x14ac:dyDescent="0.25">
      <c r="A116" s="3">
        <v>39294</v>
      </c>
      <c r="B116" s="1">
        <v>4516</v>
      </c>
      <c r="C116" s="1">
        <v>420.1</v>
      </c>
      <c r="D116" s="1">
        <v>-4.6649999999999999E-3</v>
      </c>
      <c r="E116" s="1" t="str">
        <f t="shared" si="0"/>
        <v>PGWCX</v>
      </c>
    </row>
    <row r="117" spans="1:5" ht="14.25" customHeight="1" x14ac:dyDescent="0.25">
      <c r="A117" s="3">
        <v>39325</v>
      </c>
      <c r="B117" s="1">
        <v>4516</v>
      </c>
      <c r="C117" s="1">
        <v>420.9</v>
      </c>
      <c r="D117" s="1">
        <v>1.193E-2</v>
      </c>
      <c r="E117" s="1" t="str">
        <f t="shared" si="0"/>
        <v>PGWCX</v>
      </c>
    </row>
    <row r="118" spans="1:5" ht="14.25" customHeight="1" x14ac:dyDescent="0.25">
      <c r="A118" s="3">
        <v>39353</v>
      </c>
      <c r="B118" s="1">
        <v>4516</v>
      </c>
      <c r="C118" s="1">
        <v>441.5</v>
      </c>
      <c r="D118" s="1">
        <v>5.6841999999999997E-2</v>
      </c>
      <c r="E118" s="1" t="str">
        <f t="shared" si="0"/>
        <v>PGWCX</v>
      </c>
    </row>
    <row r="119" spans="1:5" ht="14.25" customHeight="1" x14ac:dyDescent="0.25">
      <c r="A119" s="3">
        <v>39386</v>
      </c>
      <c r="B119" s="1">
        <v>4516</v>
      </c>
      <c r="C119" s="1">
        <v>451.1</v>
      </c>
      <c r="D119" s="1">
        <v>4.3027999999999997E-2</v>
      </c>
      <c r="E119" s="1" t="str">
        <f t="shared" si="0"/>
        <v>PGWCX</v>
      </c>
    </row>
    <row r="120" spans="1:5" ht="14.25" customHeight="1" x14ac:dyDescent="0.25">
      <c r="A120" s="3">
        <v>39416</v>
      </c>
      <c r="B120" s="1">
        <v>4516</v>
      </c>
      <c r="C120" s="1">
        <v>434.9</v>
      </c>
      <c r="D120" s="1">
        <v>-4.4691000000000002E-2</v>
      </c>
      <c r="E120" s="1" t="str">
        <f t="shared" si="0"/>
        <v>PGWCX</v>
      </c>
    </row>
    <row r="121" spans="1:5" ht="14.25" customHeight="1" x14ac:dyDescent="0.25">
      <c r="A121" s="3">
        <v>39447</v>
      </c>
      <c r="B121" s="1">
        <v>4516</v>
      </c>
      <c r="C121" s="1">
        <v>434.8</v>
      </c>
      <c r="D121" s="1">
        <v>5.5979999999999997E-3</v>
      </c>
      <c r="E121" s="1" t="str">
        <f t="shared" si="0"/>
        <v>PGWCX</v>
      </c>
    </row>
    <row r="122" spans="1:5" ht="14.25" customHeight="1" x14ac:dyDescent="0.25">
      <c r="A122" s="3">
        <v>39478</v>
      </c>
      <c r="B122" s="1">
        <v>4516</v>
      </c>
      <c r="C122" s="1">
        <v>399.5</v>
      </c>
      <c r="D122" s="1">
        <v>-7.3955999999999994E-2</v>
      </c>
      <c r="E122" s="1" t="str">
        <f t="shared" si="0"/>
        <v>PGWCX</v>
      </c>
    </row>
    <row r="123" spans="1:5" ht="14.25" customHeight="1" x14ac:dyDescent="0.25">
      <c r="A123" s="3">
        <v>39507</v>
      </c>
      <c r="B123" s="1">
        <v>4516</v>
      </c>
      <c r="C123" s="1">
        <v>383.2</v>
      </c>
      <c r="D123" s="1">
        <v>-3.3491E-2</v>
      </c>
      <c r="E123" s="1" t="str">
        <f t="shared" si="0"/>
        <v>PGWCX</v>
      </c>
    </row>
    <row r="124" spans="1:5" ht="14.25" customHeight="1" x14ac:dyDescent="0.25">
      <c r="A124" s="3">
        <v>39538</v>
      </c>
      <c r="B124" s="1">
        <v>4516</v>
      </c>
      <c r="C124" s="1">
        <v>344.8</v>
      </c>
      <c r="D124" s="1">
        <v>-2.0879999999999999E-2</v>
      </c>
      <c r="E124" s="1" t="str">
        <f t="shared" si="0"/>
        <v>PGWCX</v>
      </c>
    </row>
    <row r="125" spans="1:5" ht="14.25" customHeight="1" x14ac:dyDescent="0.25">
      <c r="A125" s="3">
        <v>39568</v>
      </c>
      <c r="B125" s="1">
        <v>4516</v>
      </c>
      <c r="C125" s="1">
        <v>291.89999999999998</v>
      </c>
      <c r="D125" s="1">
        <v>8.7113999999999997E-2</v>
      </c>
      <c r="E125" s="1" t="str">
        <f t="shared" si="0"/>
        <v>PGWCX</v>
      </c>
    </row>
    <row r="126" spans="1:5" ht="14.25" customHeight="1" x14ac:dyDescent="0.25">
      <c r="A126" s="3">
        <v>39598</v>
      </c>
      <c r="B126" s="1">
        <v>4516</v>
      </c>
      <c r="C126" s="1">
        <v>300.39999999999998</v>
      </c>
      <c r="D126" s="1">
        <v>3.6311000000000003E-2</v>
      </c>
      <c r="E126" s="1" t="str">
        <f t="shared" si="0"/>
        <v>PGWCX</v>
      </c>
    </row>
    <row r="127" spans="1:5" ht="14.25" customHeight="1" x14ac:dyDescent="0.25">
      <c r="A127" s="3">
        <v>39629</v>
      </c>
      <c r="B127" s="1">
        <v>4516</v>
      </c>
      <c r="C127" s="1">
        <v>278.5</v>
      </c>
      <c r="D127" s="1">
        <v>-6.5645999999999996E-2</v>
      </c>
      <c r="E127" s="1" t="str">
        <f t="shared" si="0"/>
        <v>PGWCX</v>
      </c>
    </row>
    <row r="128" spans="1:5" ht="14.25" customHeight="1" x14ac:dyDescent="0.25">
      <c r="A128" s="3">
        <v>39660</v>
      </c>
      <c r="B128" s="1">
        <v>4516</v>
      </c>
      <c r="C128" s="1">
        <v>263.3</v>
      </c>
      <c r="D128" s="1">
        <v>-3.3620999999999998E-2</v>
      </c>
      <c r="E128" s="1" t="str">
        <f t="shared" si="0"/>
        <v>PGWCX</v>
      </c>
    </row>
    <row r="129" spans="1:5" ht="14.25" customHeight="1" x14ac:dyDescent="0.25">
      <c r="A129" s="3">
        <v>39689</v>
      </c>
      <c r="B129" s="1">
        <v>4516</v>
      </c>
      <c r="C129" s="1">
        <v>264.5</v>
      </c>
      <c r="D129" s="1">
        <v>1.4272999999999999E-2</v>
      </c>
      <c r="E129" s="1" t="str">
        <f t="shared" si="0"/>
        <v>PGWCX</v>
      </c>
    </row>
    <row r="130" spans="1:5" ht="14.25" customHeight="1" x14ac:dyDescent="0.25">
      <c r="A130" s="3">
        <v>39721</v>
      </c>
      <c r="B130" s="1">
        <v>4516</v>
      </c>
      <c r="C130" s="1">
        <v>226.2</v>
      </c>
      <c r="D130" s="1">
        <v>-0.13280600000000001</v>
      </c>
      <c r="E130" s="1" t="str">
        <f t="shared" si="0"/>
        <v>PGWCX</v>
      </c>
    </row>
    <row r="131" spans="1:5" ht="14.25" customHeight="1" x14ac:dyDescent="0.25">
      <c r="A131" s="3">
        <v>39752</v>
      </c>
      <c r="B131" s="1">
        <v>4516</v>
      </c>
      <c r="C131" s="1">
        <v>189.9</v>
      </c>
      <c r="D131" s="1">
        <v>-0.14502999999999999</v>
      </c>
      <c r="E131" s="1" t="str">
        <f t="shared" si="0"/>
        <v>PGWCX</v>
      </c>
    </row>
    <row r="132" spans="1:5" ht="14.25" customHeight="1" x14ac:dyDescent="0.25">
      <c r="A132" s="3">
        <v>39780</v>
      </c>
      <c r="B132" s="1">
        <v>4516</v>
      </c>
      <c r="C132" s="1">
        <v>172.2</v>
      </c>
      <c r="D132" s="1">
        <v>-8.1850999999999993E-2</v>
      </c>
      <c r="E132" s="1" t="str">
        <f t="shared" si="0"/>
        <v>PGWCX</v>
      </c>
    </row>
    <row r="133" spans="1:5" ht="14.25" customHeight="1" x14ac:dyDescent="0.25">
      <c r="A133" s="3">
        <v>39813</v>
      </c>
      <c r="B133" s="1">
        <v>4516</v>
      </c>
      <c r="C133" s="1">
        <v>172.6</v>
      </c>
      <c r="D133" s="1">
        <v>1.1627999999999999E-2</v>
      </c>
      <c r="E133" s="1" t="str">
        <f t="shared" si="0"/>
        <v>PGWCX</v>
      </c>
    </row>
    <row r="134" spans="1:5" ht="14.25" customHeight="1" x14ac:dyDescent="0.25">
      <c r="A134" s="3">
        <v>39843</v>
      </c>
      <c r="B134" s="1">
        <v>4516</v>
      </c>
      <c r="C134" s="1">
        <v>166.7</v>
      </c>
      <c r="D134" s="1">
        <v>-2.4265999999999999E-2</v>
      </c>
      <c r="E134" s="1" t="str">
        <f t="shared" si="0"/>
        <v>PGWCX</v>
      </c>
    </row>
    <row r="135" spans="1:5" ht="14.25" customHeight="1" x14ac:dyDescent="0.25">
      <c r="A135" s="3">
        <v>39871</v>
      </c>
      <c r="B135" s="1">
        <v>4516</v>
      </c>
      <c r="C135" s="1">
        <v>149.69999999999999</v>
      </c>
      <c r="D135" s="1">
        <v>-8.9660000000000004E-2</v>
      </c>
      <c r="E135" s="1" t="str">
        <f t="shared" si="0"/>
        <v>PGWCX</v>
      </c>
    </row>
    <row r="136" spans="1:5" ht="14.25" customHeight="1" x14ac:dyDescent="0.25">
      <c r="A136" s="3">
        <v>39903</v>
      </c>
      <c r="B136" s="1">
        <v>4516</v>
      </c>
      <c r="C136" s="1">
        <v>160.69999999999999</v>
      </c>
      <c r="D136" s="1">
        <v>9.0581999999999996E-2</v>
      </c>
      <c r="E136" s="1" t="str">
        <f t="shared" si="0"/>
        <v>PGWCX</v>
      </c>
    </row>
    <row r="137" spans="1:5" ht="14.25" customHeight="1" x14ac:dyDescent="0.25">
      <c r="A137" s="3">
        <v>39933</v>
      </c>
      <c r="B137" s="1">
        <v>4516</v>
      </c>
      <c r="C137" s="1">
        <v>172.1</v>
      </c>
      <c r="D137" s="1">
        <v>7.5148000000000006E-2</v>
      </c>
      <c r="E137" s="1" t="str">
        <f t="shared" si="0"/>
        <v>PGWCX</v>
      </c>
    </row>
    <row r="138" spans="1:5" ht="14.25" customHeight="1" x14ac:dyDescent="0.25">
      <c r="A138" s="3">
        <v>39962</v>
      </c>
      <c r="B138" s="1">
        <v>4516</v>
      </c>
      <c r="C138" s="1">
        <v>180.7</v>
      </c>
      <c r="D138" s="1">
        <v>5.2727999999999997E-2</v>
      </c>
      <c r="E138" s="1" t="str">
        <f t="shared" si="0"/>
        <v>PGWCX</v>
      </c>
    </row>
    <row r="139" spans="1:5" ht="14.25" customHeight="1" x14ac:dyDescent="0.25">
      <c r="A139" s="3">
        <v>39994</v>
      </c>
      <c r="B139" s="1">
        <v>4516</v>
      </c>
      <c r="C139" s="1">
        <v>182.5</v>
      </c>
      <c r="D139" s="1">
        <v>1.3978000000000001E-2</v>
      </c>
      <c r="E139" s="1" t="str">
        <f t="shared" si="0"/>
        <v>PGWCX</v>
      </c>
    </row>
    <row r="140" spans="1:5" ht="14.25" customHeight="1" x14ac:dyDescent="0.25">
      <c r="A140" s="3">
        <v>40025</v>
      </c>
      <c r="B140" s="1">
        <v>4516</v>
      </c>
      <c r="C140" s="1">
        <v>194.9</v>
      </c>
      <c r="D140" s="1">
        <v>7.2946999999999998E-2</v>
      </c>
      <c r="E140" s="1" t="str">
        <f t="shared" si="0"/>
        <v>PGWCX</v>
      </c>
    </row>
    <row r="141" spans="1:5" ht="14.25" customHeight="1" x14ac:dyDescent="0.25">
      <c r="A141" s="3">
        <v>40056</v>
      </c>
      <c r="B141" s="1">
        <v>4516</v>
      </c>
      <c r="C141" s="1">
        <v>196.8</v>
      </c>
      <c r="D141" s="1">
        <v>1.0170999999999999E-2</v>
      </c>
      <c r="E141" s="1" t="str">
        <f t="shared" si="0"/>
        <v>PGWCX</v>
      </c>
    </row>
    <row r="142" spans="1:5" ht="14.25" customHeight="1" x14ac:dyDescent="0.25">
      <c r="A142" s="3">
        <v>40086</v>
      </c>
      <c r="B142" s="1">
        <v>4516</v>
      </c>
      <c r="C142" s="1">
        <v>200.5</v>
      </c>
      <c r="D142" s="1">
        <v>2.8087000000000001E-2</v>
      </c>
      <c r="E142" s="1" t="str">
        <f t="shared" si="0"/>
        <v>PGWCX</v>
      </c>
    </row>
    <row r="143" spans="1:5" ht="14.25" customHeight="1" x14ac:dyDescent="0.25">
      <c r="A143" s="3">
        <v>40116</v>
      </c>
      <c r="B143" s="1">
        <v>4516</v>
      </c>
      <c r="C143" s="1">
        <v>195.7</v>
      </c>
      <c r="D143" s="1">
        <v>-1.7010000000000001E-2</v>
      </c>
      <c r="E143" s="1" t="str">
        <f t="shared" si="0"/>
        <v>PGWCX</v>
      </c>
    </row>
    <row r="144" spans="1:5" ht="14.25" customHeight="1" x14ac:dyDescent="0.25">
      <c r="A144" s="3">
        <v>40147</v>
      </c>
      <c r="B144" s="1">
        <v>4516</v>
      </c>
      <c r="C144" s="1">
        <v>205.4</v>
      </c>
      <c r="D144" s="1">
        <v>5.7681999999999997E-2</v>
      </c>
      <c r="E144" s="1" t="str">
        <f t="shared" si="0"/>
        <v>PGWCX</v>
      </c>
    </row>
    <row r="145" spans="1:5" ht="14.25" customHeight="1" x14ac:dyDescent="0.25">
      <c r="A145" s="3">
        <v>40178</v>
      </c>
      <c r="B145" s="1">
        <v>4516</v>
      </c>
      <c r="C145" s="1">
        <v>208.5</v>
      </c>
      <c r="D145" s="1">
        <v>2.6773000000000002E-2</v>
      </c>
      <c r="E145" s="1" t="str">
        <f t="shared" si="0"/>
        <v>PGWCX</v>
      </c>
    </row>
    <row r="146" spans="1:5" ht="14.25" customHeight="1" x14ac:dyDescent="0.25">
      <c r="A146" s="3">
        <v>40207</v>
      </c>
      <c r="B146" s="1">
        <v>4516</v>
      </c>
      <c r="C146" s="1">
        <v>195.3</v>
      </c>
      <c r="D146" s="1">
        <v>-5.2149000000000001E-2</v>
      </c>
      <c r="E146" s="1" t="str">
        <f t="shared" si="0"/>
        <v>PGWCX</v>
      </c>
    </row>
    <row r="147" spans="1:5" ht="14.25" customHeight="1" x14ac:dyDescent="0.25">
      <c r="A147" s="3">
        <v>40235</v>
      </c>
      <c r="B147" s="1">
        <v>4516</v>
      </c>
      <c r="C147" s="1">
        <v>202.7</v>
      </c>
      <c r="D147" s="1">
        <v>4.6866999999999999E-2</v>
      </c>
      <c r="E147" s="1" t="str">
        <f t="shared" si="0"/>
        <v>PGWCX</v>
      </c>
    </row>
    <row r="148" spans="1:5" ht="14.25" customHeight="1" x14ac:dyDescent="0.25">
      <c r="A148" s="3">
        <v>40268</v>
      </c>
      <c r="B148" s="1">
        <v>4516</v>
      </c>
      <c r="C148" s="1">
        <v>213.1</v>
      </c>
      <c r="D148" s="1">
        <v>6.3259999999999997E-2</v>
      </c>
      <c r="E148" s="1" t="str">
        <f t="shared" si="0"/>
        <v>PGWCX</v>
      </c>
    </row>
    <row r="149" spans="1:5" ht="14.25" customHeight="1" x14ac:dyDescent="0.25">
      <c r="A149" s="3">
        <v>40298</v>
      </c>
      <c r="B149" s="1">
        <v>4516</v>
      </c>
      <c r="C149" s="1">
        <v>211.3</v>
      </c>
      <c r="D149" s="1">
        <v>1.3730000000000001E-3</v>
      </c>
      <c r="E149" s="1" t="str">
        <f t="shared" si="0"/>
        <v>PGWCX</v>
      </c>
    </row>
    <row r="150" spans="1:5" ht="14.25" customHeight="1" x14ac:dyDescent="0.25">
      <c r="A150" s="3">
        <v>40326</v>
      </c>
      <c r="B150" s="1">
        <v>4516</v>
      </c>
      <c r="C150" s="1">
        <v>192.2</v>
      </c>
      <c r="D150" s="1">
        <v>-7.9981999999999998E-2</v>
      </c>
      <c r="E150" s="1" t="str">
        <f t="shared" si="0"/>
        <v>PGWCX</v>
      </c>
    </row>
    <row r="151" spans="1:5" ht="14.25" customHeight="1" x14ac:dyDescent="0.25">
      <c r="A151" s="3">
        <v>40359</v>
      </c>
      <c r="B151" s="1">
        <v>4516</v>
      </c>
      <c r="C151" s="1">
        <v>179.4</v>
      </c>
      <c r="D151" s="1">
        <v>-5.7128999999999999E-2</v>
      </c>
      <c r="E151" s="1" t="str">
        <f t="shared" si="0"/>
        <v>PGWCX</v>
      </c>
    </row>
    <row r="152" spans="1:5" ht="14.25" customHeight="1" x14ac:dyDescent="0.25">
      <c r="A152" s="3">
        <v>40389</v>
      </c>
      <c r="B152" s="1">
        <v>4516</v>
      </c>
      <c r="C152" s="1">
        <v>186.4</v>
      </c>
      <c r="D152" s="1">
        <v>5.3740999999999997E-2</v>
      </c>
      <c r="E152" s="1" t="str">
        <f t="shared" si="0"/>
        <v>PGWCX</v>
      </c>
    </row>
    <row r="153" spans="1:5" ht="14.25" customHeight="1" x14ac:dyDescent="0.25">
      <c r="A153" s="3">
        <v>40421</v>
      </c>
      <c r="B153" s="1">
        <v>4516</v>
      </c>
      <c r="C153" s="1">
        <v>175.5</v>
      </c>
      <c r="D153" s="1">
        <v>-4.5999999999999999E-2</v>
      </c>
      <c r="E153" s="1" t="str">
        <f t="shared" si="0"/>
        <v>PGWCX</v>
      </c>
    </row>
    <row r="154" spans="1:5" ht="14.25" customHeight="1" x14ac:dyDescent="0.25">
      <c r="A154" s="3">
        <v>40451</v>
      </c>
      <c r="B154" s="1">
        <v>4516</v>
      </c>
      <c r="C154" s="1">
        <v>190.5</v>
      </c>
      <c r="D154" s="1">
        <v>9.4339999999999993E-2</v>
      </c>
      <c r="E154" s="1" t="str">
        <f t="shared" si="0"/>
        <v>PGWCX</v>
      </c>
    </row>
    <row r="155" spans="1:5" ht="14.25" customHeight="1" x14ac:dyDescent="0.25">
      <c r="A155" s="3">
        <v>40480</v>
      </c>
      <c r="B155" s="1">
        <v>4516</v>
      </c>
      <c r="C155" s="1">
        <v>195</v>
      </c>
      <c r="D155" s="1">
        <v>3.8793000000000001E-2</v>
      </c>
      <c r="E155" s="1" t="str">
        <f t="shared" si="0"/>
        <v>PGWCX</v>
      </c>
    </row>
    <row r="156" spans="1:5" ht="14.25" customHeight="1" x14ac:dyDescent="0.25">
      <c r="A156" s="3">
        <v>40512</v>
      </c>
      <c r="B156" s="1">
        <v>4516</v>
      </c>
      <c r="C156" s="1">
        <v>195.3</v>
      </c>
      <c r="D156" s="1">
        <v>1.7981E-2</v>
      </c>
      <c r="E156" s="1" t="str">
        <f t="shared" si="0"/>
        <v>PGWCX</v>
      </c>
    </row>
    <row r="157" spans="1:5" ht="14.25" customHeight="1" x14ac:dyDescent="0.25">
      <c r="A157" s="3">
        <v>40543</v>
      </c>
      <c r="B157" s="1">
        <v>4516</v>
      </c>
      <c r="C157" s="1">
        <v>202.3</v>
      </c>
      <c r="D157" s="1">
        <v>5.2989000000000001E-2</v>
      </c>
      <c r="E157" s="1" t="str">
        <f t="shared" si="0"/>
        <v>PGWCX</v>
      </c>
    </row>
    <row r="158" spans="1:5" ht="14.25" customHeight="1" x14ac:dyDescent="0.25">
      <c r="A158" s="3">
        <v>40574</v>
      </c>
      <c r="B158" s="1">
        <v>4516</v>
      </c>
      <c r="C158" s="1">
        <v>205.3</v>
      </c>
      <c r="D158" s="1">
        <v>2.4945999999999999E-2</v>
      </c>
      <c r="E158" s="1" t="str">
        <f t="shared" si="0"/>
        <v>PGWCX</v>
      </c>
    </row>
    <row r="159" spans="1:5" ht="14.25" customHeight="1" x14ac:dyDescent="0.25">
      <c r="A159" s="3">
        <v>40602</v>
      </c>
      <c r="B159" s="1">
        <v>4516</v>
      </c>
      <c r="C159" s="1">
        <v>210.5</v>
      </c>
      <c r="D159" s="1">
        <v>3.6509E-2</v>
      </c>
      <c r="E159" s="1" t="str">
        <f t="shared" si="0"/>
        <v>PGWCX</v>
      </c>
    </row>
    <row r="160" spans="1:5" ht="14.25" customHeight="1" x14ac:dyDescent="0.25">
      <c r="A160" s="3">
        <v>40633</v>
      </c>
      <c r="B160" s="1">
        <v>4516</v>
      </c>
      <c r="C160" s="1">
        <v>209.6</v>
      </c>
      <c r="D160" s="1">
        <v>1.0121E-2</v>
      </c>
      <c r="E160" s="1" t="str">
        <f t="shared" si="0"/>
        <v>PGWCX</v>
      </c>
    </row>
    <row r="161" spans="1:5" ht="14.25" customHeight="1" x14ac:dyDescent="0.25">
      <c r="A161" s="3">
        <v>40662</v>
      </c>
      <c r="B161" s="1">
        <v>4516</v>
      </c>
      <c r="C161" s="1">
        <v>211.2</v>
      </c>
      <c r="D161" s="1">
        <v>2.2846000000000002E-2</v>
      </c>
      <c r="E161" s="1" t="str">
        <f t="shared" si="0"/>
        <v>PGWCX</v>
      </c>
    </row>
    <row r="162" spans="1:5" ht="14.25" customHeight="1" x14ac:dyDescent="0.25">
      <c r="A162" s="3">
        <v>40694</v>
      </c>
      <c r="B162" s="1">
        <v>4516</v>
      </c>
      <c r="C162" s="1">
        <v>207.2</v>
      </c>
      <c r="D162" s="1">
        <v>-8.6210000000000002E-3</v>
      </c>
      <c r="E162" s="1" t="str">
        <f t="shared" si="0"/>
        <v>PGWCX</v>
      </c>
    </row>
    <row r="163" spans="1:5" ht="14.25" customHeight="1" x14ac:dyDescent="0.25">
      <c r="A163" s="3">
        <v>40724</v>
      </c>
      <c r="B163" s="1">
        <v>4516</v>
      </c>
      <c r="C163" s="1">
        <v>200.6</v>
      </c>
      <c r="D163" s="1">
        <v>-1.9368E-2</v>
      </c>
      <c r="E163" s="1" t="str">
        <f t="shared" si="0"/>
        <v>PGWCX</v>
      </c>
    </row>
    <row r="164" spans="1:5" ht="14.25" customHeight="1" x14ac:dyDescent="0.25">
      <c r="A164" s="3">
        <v>40753</v>
      </c>
      <c r="B164" s="1">
        <v>4516</v>
      </c>
      <c r="C164" s="1">
        <v>198.4</v>
      </c>
      <c r="D164" s="1">
        <v>5.2399999999999999E-3</v>
      </c>
      <c r="E164" s="1" t="str">
        <f t="shared" si="0"/>
        <v>PGWCX</v>
      </c>
    </row>
    <row r="165" spans="1:5" ht="14.25" customHeight="1" x14ac:dyDescent="0.25">
      <c r="A165" s="3">
        <v>40786</v>
      </c>
      <c r="B165" s="1">
        <v>4516</v>
      </c>
      <c r="C165" s="1">
        <v>181.5</v>
      </c>
      <c r="D165" s="1">
        <v>-7.2173000000000001E-2</v>
      </c>
      <c r="E165" s="1" t="str">
        <f t="shared" si="0"/>
        <v>PGWCX</v>
      </c>
    </row>
    <row r="166" spans="1:5" ht="14.25" customHeight="1" x14ac:dyDescent="0.25">
      <c r="A166" s="3">
        <v>40816</v>
      </c>
      <c r="B166" s="1">
        <v>4516</v>
      </c>
      <c r="C166" s="1">
        <v>163.69999999999999</v>
      </c>
      <c r="D166" s="1">
        <v>-8.5998000000000005E-2</v>
      </c>
      <c r="E166" s="1" t="str">
        <f t="shared" si="0"/>
        <v>PGWCX</v>
      </c>
    </row>
    <row r="167" spans="1:5" ht="14.25" customHeight="1" x14ac:dyDescent="0.25">
      <c r="A167" s="3">
        <v>40847</v>
      </c>
      <c r="B167" s="1">
        <v>4516</v>
      </c>
      <c r="C167" s="1">
        <v>180.2</v>
      </c>
      <c r="D167" s="1">
        <v>0.112057</v>
      </c>
      <c r="E167" s="1" t="str">
        <f t="shared" si="0"/>
        <v>PGWCX</v>
      </c>
    </row>
    <row r="168" spans="1:5" ht="14.25" customHeight="1" x14ac:dyDescent="0.25">
      <c r="A168" s="3">
        <v>40877</v>
      </c>
      <c r="B168" s="1">
        <v>4516</v>
      </c>
      <c r="C168" s="1">
        <v>177.2</v>
      </c>
      <c r="D168" s="1">
        <v>-2.9759999999999999E-3</v>
      </c>
      <c r="E168" s="1" t="str">
        <f t="shared" si="0"/>
        <v>PGWCX</v>
      </c>
    </row>
    <row r="169" spans="1:5" ht="14.25" customHeight="1" x14ac:dyDescent="0.25">
      <c r="A169" s="3">
        <v>40907</v>
      </c>
      <c r="B169" s="1">
        <v>4516</v>
      </c>
      <c r="C169" s="1">
        <v>172.1</v>
      </c>
      <c r="D169" s="1">
        <v>-1.8762999999999998E-2</v>
      </c>
      <c r="E169" s="1" t="str">
        <f t="shared" si="0"/>
        <v>PGWCX</v>
      </c>
    </row>
    <row r="170" spans="1:5" ht="14.25" customHeight="1" x14ac:dyDescent="0.25">
      <c r="A170" s="3">
        <v>40939</v>
      </c>
      <c r="B170" s="1">
        <v>4516</v>
      </c>
      <c r="C170" s="1">
        <v>181.3</v>
      </c>
      <c r="D170" s="1">
        <v>6.5188999999999997E-2</v>
      </c>
      <c r="E170" s="1" t="str">
        <f t="shared" si="0"/>
        <v>PGWCX</v>
      </c>
    </row>
    <row r="171" spans="1:5" ht="14.25" customHeight="1" x14ac:dyDescent="0.25">
      <c r="A171" s="3">
        <v>40968</v>
      </c>
      <c r="B171" s="1">
        <v>4516</v>
      </c>
      <c r="C171" s="1">
        <v>188.7</v>
      </c>
      <c r="D171" s="1">
        <v>4.9776000000000001E-2</v>
      </c>
      <c r="E171" s="1" t="str">
        <f t="shared" si="0"/>
        <v>PGWCX</v>
      </c>
    </row>
    <row r="172" spans="1:5" ht="14.25" customHeight="1" x14ac:dyDescent="0.25">
      <c r="A172" s="3">
        <v>40998</v>
      </c>
      <c r="B172" s="1">
        <v>4516</v>
      </c>
      <c r="C172" s="1">
        <v>194.6</v>
      </c>
      <c r="D172" s="1">
        <v>4.0807999999999997E-2</v>
      </c>
      <c r="E172" s="1" t="str">
        <f t="shared" si="0"/>
        <v>PGWCX</v>
      </c>
    </row>
    <row r="173" spans="1:5" ht="14.25" customHeight="1" x14ac:dyDescent="0.25">
      <c r="A173" s="3">
        <v>41029</v>
      </c>
      <c r="B173" s="1">
        <v>4516</v>
      </c>
      <c r="C173" s="1">
        <v>191.2</v>
      </c>
      <c r="D173" s="1">
        <v>-7.4679999999999998E-3</v>
      </c>
      <c r="E173" s="1" t="str">
        <f t="shared" si="0"/>
        <v>PGWCX</v>
      </c>
    </row>
    <row r="174" spans="1:5" ht="14.25" customHeight="1" x14ac:dyDescent="0.25">
      <c r="A174" s="3">
        <v>41060</v>
      </c>
      <c r="B174" s="1">
        <v>4516</v>
      </c>
      <c r="C174" s="1">
        <v>175.6</v>
      </c>
      <c r="D174" s="1">
        <v>-7.1859000000000006E-2</v>
      </c>
      <c r="E174" s="1" t="str">
        <f t="shared" si="0"/>
        <v>PGWCX</v>
      </c>
    </row>
    <row r="175" spans="1:5" ht="14.25" customHeight="1" x14ac:dyDescent="0.25">
      <c r="A175" s="3">
        <v>41089</v>
      </c>
      <c r="B175" s="1">
        <v>4516</v>
      </c>
      <c r="C175" s="1">
        <v>179</v>
      </c>
      <c r="D175" s="1">
        <v>3.0807000000000001E-2</v>
      </c>
      <c r="E175" s="1" t="str">
        <f t="shared" si="0"/>
        <v>PGWCX</v>
      </c>
    </row>
    <row r="176" spans="1:5" ht="14.25" customHeight="1" x14ac:dyDescent="0.25">
      <c r="A176" s="3">
        <v>41121</v>
      </c>
      <c r="B176" s="1">
        <v>4516</v>
      </c>
      <c r="C176" s="1">
        <v>178.7</v>
      </c>
      <c r="D176" s="1">
        <v>1.0224E-2</v>
      </c>
      <c r="E176" s="1" t="str">
        <f t="shared" si="0"/>
        <v>PGWCX</v>
      </c>
    </row>
    <row r="177" spans="1:5" ht="14.25" customHeight="1" x14ac:dyDescent="0.25">
      <c r="A177" s="3">
        <v>41152</v>
      </c>
      <c r="B177" s="1">
        <v>4516</v>
      </c>
      <c r="C177" s="1">
        <v>183.5</v>
      </c>
      <c r="D177" s="1">
        <v>3.9315000000000003E-2</v>
      </c>
      <c r="E177" s="1" t="str">
        <f t="shared" si="0"/>
        <v>PGWCX</v>
      </c>
    </row>
    <row r="178" spans="1:5" ht="14.25" customHeight="1" x14ac:dyDescent="0.25">
      <c r="A178" s="3">
        <v>41180</v>
      </c>
      <c r="B178" s="1">
        <v>4516</v>
      </c>
      <c r="C178" s="1">
        <v>185.4</v>
      </c>
      <c r="D178" s="1">
        <v>2.2096999999999999E-2</v>
      </c>
      <c r="E178" s="1" t="str">
        <f t="shared" si="0"/>
        <v>PGWCX</v>
      </c>
    </row>
    <row r="179" spans="1:5" ht="14.25" customHeight="1" x14ac:dyDescent="0.25">
      <c r="A179" s="3">
        <v>41213</v>
      </c>
      <c r="B179" s="1">
        <v>4516</v>
      </c>
      <c r="C179" s="1">
        <v>175.6</v>
      </c>
      <c r="D179" s="1">
        <v>-4.1041000000000001E-2</v>
      </c>
      <c r="E179" s="1" t="str">
        <f t="shared" si="0"/>
        <v>PGWCX</v>
      </c>
    </row>
    <row r="180" spans="1:5" ht="14.25" customHeight="1" x14ac:dyDescent="0.25">
      <c r="A180" s="3">
        <v>41243</v>
      </c>
      <c r="B180" s="1">
        <v>4516</v>
      </c>
      <c r="C180" s="1">
        <v>177.6</v>
      </c>
      <c r="D180" s="1">
        <v>2.4455000000000001E-2</v>
      </c>
      <c r="E180" s="1" t="str">
        <f t="shared" si="0"/>
        <v>PGWCX</v>
      </c>
    </row>
    <row r="181" spans="1:5" ht="14.25" customHeight="1" x14ac:dyDescent="0.25">
      <c r="A181" s="3">
        <v>41274</v>
      </c>
      <c r="B181" s="1">
        <v>4516</v>
      </c>
      <c r="C181" s="1">
        <v>174</v>
      </c>
      <c r="D181" s="1">
        <v>-3.0569999999999998E-3</v>
      </c>
      <c r="E181" s="1" t="str">
        <f t="shared" si="0"/>
        <v>PGWCX</v>
      </c>
    </row>
    <row r="182" spans="1:5" ht="14.25" customHeight="1" x14ac:dyDescent="0.25">
      <c r="A182" s="3">
        <v>41305</v>
      </c>
      <c r="B182" s="1">
        <v>4516</v>
      </c>
      <c r="C182" s="1">
        <v>180</v>
      </c>
      <c r="D182" s="1">
        <v>4.7388E-2</v>
      </c>
      <c r="E182" s="1" t="str">
        <f t="shared" si="0"/>
        <v>PGWCX</v>
      </c>
    </row>
    <row r="183" spans="1:5" ht="14.25" customHeight="1" x14ac:dyDescent="0.25">
      <c r="A183" s="3">
        <v>41333</v>
      </c>
      <c r="B183" s="1">
        <v>4516</v>
      </c>
      <c r="C183" s="1">
        <v>179.8</v>
      </c>
      <c r="D183" s="1">
        <v>6.9610000000000002E-3</v>
      </c>
      <c r="E183" s="1" t="str">
        <f t="shared" si="0"/>
        <v>PGWCX</v>
      </c>
    </row>
    <row r="184" spans="1:5" ht="14.25" customHeight="1" x14ac:dyDescent="0.25">
      <c r="A184" s="3">
        <v>41361</v>
      </c>
      <c r="B184" s="1">
        <v>4516</v>
      </c>
      <c r="C184" s="1">
        <v>183.7</v>
      </c>
      <c r="D184" s="1">
        <v>3.3410000000000002E-2</v>
      </c>
      <c r="E184" s="1" t="str">
        <f t="shared" si="0"/>
        <v>PGWCX</v>
      </c>
    </row>
    <row r="185" spans="1:5" ht="14.25" customHeight="1" x14ac:dyDescent="0.25">
      <c r="A185" s="3">
        <v>41394</v>
      </c>
      <c r="B185" s="1">
        <v>4516</v>
      </c>
      <c r="C185" s="1">
        <v>186.8</v>
      </c>
      <c r="D185" s="1">
        <v>2.3411000000000001E-2</v>
      </c>
      <c r="E185" s="1" t="str">
        <f t="shared" si="0"/>
        <v>PGWCX</v>
      </c>
    </row>
    <row r="186" spans="1:5" ht="14.25" customHeight="1" x14ac:dyDescent="0.25">
      <c r="A186" s="3">
        <v>41425</v>
      </c>
      <c r="B186" s="1">
        <v>4516</v>
      </c>
      <c r="C186" s="1">
        <v>186.5</v>
      </c>
      <c r="D186" s="1">
        <v>7.2620000000000002E-3</v>
      </c>
      <c r="E186" s="1" t="str">
        <f t="shared" si="0"/>
        <v>PGWCX</v>
      </c>
    </row>
    <row r="187" spans="1:5" ht="14.25" customHeight="1" x14ac:dyDescent="0.25">
      <c r="A187" s="3">
        <v>41453</v>
      </c>
      <c r="B187" s="1">
        <v>4516</v>
      </c>
      <c r="C187" s="1">
        <v>183.1</v>
      </c>
      <c r="D187" s="1">
        <v>-1.2978E-2</v>
      </c>
      <c r="E187" s="1" t="str">
        <f t="shared" si="0"/>
        <v>PGWCX</v>
      </c>
    </row>
    <row r="188" spans="1:5" ht="14.25" customHeight="1" x14ac:dyDescent="0.25">
      <c r="A188" s="3">
        <v>41486</v>
      </c>
      <c r="B188" s="1">
        <v>4516</v>
      </c>
      <c r="C188" s="1">
        <v>190.5</v>
      </c>
      <c r="D188" s="1">
        <v>4.9306000000000003E-2</v>
      </c>
      <c r="E188" s="1" t="str">
        <f t="shared" si="0"/>
        <v>PGWCX</v>
      </c>
    </row>
    <row r="189" spans="1:5" ht="14.25" customHeight="1" x14ac:dyDescent="0.25">
      <c r="A189" s="3">
        <v>41516</v>
      </c>
      <c r="B189" s="1">
        <v>4516</v>
      </c>
      <c r="C189" s="1">
        <v>187.4</v>
      </c>
      <c r="D189" s="1">
        <v>-8.7019999999999997E-3</v>
      </c>
      <c r="E189" s="1" t="str">
        <f t="shared" si="0"/>
        <v>PGWCX</v>
      </c>
    </row>
    <row r="190" spans="1:5" ht="14.25" customHeight="1" x14ac:dyDescent="0.25">
      <c r="A190" s="3">
        <v>41547</v>
      </c>
      <c r="B190" s="1">
        <v>4516</v>
      </c>
      <c r="C190" s="1">
        <v>198.6</v>
      </c>
      <c r="D190" s="1">
        <v>6.6011E-2</v>
      </c>
      <c r="E190" s="1" t="str">
        <f t="shared" si="0"/>
        <v>PGWCX</v>
      </c>
    </row>
    <row r="191" spans="1:5" ht="14.25" customHeight="1" x14ac:dyDescent="0.25">
      <c r="A191" s="3">
        <v>41578</v>
      </c>
      <c r="B191" s="1">
        <v>4516</v>
      </c>
      <c r="C191" s="1">
        <v>206.3</v>
      </c>
      <c r="D191" s="1">
        <v>4.7100999999999997E-2</v>
      </c>
      <c r="E191" s="1" t="str">
        <f t="shared" si="0"/>
        <v>PGWCX</v>
      </c>
    </row>
    <row r="192" spans="1:5" ht="14.25" customHeight="1" x14ac:dyDescent="0.25">
      <c r="A192" s="3">
        <v>41607</v>
      </c>
      <c r="B192" s="1">
        <v>4516</v>
      </c>
      <c r="C192" s="1">
        <v>211.1</v>
      </c>
      <c r="D192" s="1">
        <v>2.9569000000000002E-2</v>
      </c>
      <c r="E192" s="1" t="str">
        <f t="shared" si="0"/>
        <v>PGWCX</v>
      </c>
    </row>
    <row r="193" spans="1:5" ht="14.25" customHeight="1" x14ac:dyDescent="0.25">
      <c r="A193" s="3">
        <v>41639</v>
      </c>
      <c r="B193" s="1">
        <v>4516</v>
      </c>
      <c r="C193" s="1">
        <v>215.9</v>
      </c>
      <c r="D193" s="1">
        <v>3.9483999999999998E-2</v>
      </c>
      <c r="E193" s="1" t="str">
        <f t="shared" si="0"/>
        <v>PGWCX</v>
      </c>
    </row>
    <row r="194" spans="1:5" ht="14.25" customHeight="1" x14ac:dyDescent="0.25">
      <c r="A194" s="3">
        <v>41670</v>
      </c>
      <c r="B194" s="1">
        <v>4516</v>
      </c>
      <c r="C194" s="1">
        <v>212.4</v>
      </c>
      <c r="D194" s="1">
        <v>-8.5109999999999995E-3</v>
      </c>
      <c r="E194" s="1" t="str">
        <f t="shared" si="0"/>
        <v>PGWCX</v>
      </c>
    </row>
    <row r="195" spans="1:5" ht="14.25" customHeight="1" x14ac:dyDescent="0.25">
      <c r="A195" s="3">
        <v>41698</v>
      </c>
      <c r="B195" s="1">
        <v>4516</v>
      </c>
      <c r="C195" s="1">
        <v>223.6</v>
      </c>
      <c r="D195" s="1">
        <v>5.8435000000000001E-2</v>
      </c>
      <c r="E195" s="1" t="str">
        <f t="shared" si="0"/>
        <v>PGWCX</v>
      </c>
    </row>
    <row r="196" spans="1:5" ht="14.25" customHeight="1" x14ac:dyDescent="0.25">
      <c r="A196" s="3">
        <v>41729</v>
      </c>
      <c r="B196" s="1">
        <v>4516</v>
      </c>
      <c r="C196" s="1">
        <v>213.9</v>
      </c>
      <c r="D196" s="1">
        <v>-3.8365999999999997E-2</v>
      </c>
      <c r="E196" s="1" t="str">
        <f t="shared" si="0"/>
        <v>PGWCX</v>
      </c>
    </row>
    <row r="197" spans="1:5" ht="14.25" customHeight="1" x14ac:dyDescent="0.25">
      <c r="A197" s="3">
        <v>41759</v>
      </c>
      <c r="B197" s="1">
        <v>4516</v>
      </c>
      <c r="C197" s="1">
        <v>209.8</v>
      </c>
      <c r="D197" s="1">
        <v>-1.1677E-2</v>
      </c>
      <c r="E197" s="1" t="str">
        <f t="shared" si="0"/>
        <v>PGWCX</v>
      </c>
    </row>
    <row r="198" spans="1:5" ht="14.25" customHeight="1" x14ac:dyDescent="0.25">
      <c r="A198" s="3">
        <v>41789</v>
      </c>
      <c r="B198" s="1">
        <v>4516</v>
      </c>
      <c r="C198" s="1">
        <v>215.7</v>
      </c>
      <c r="D198" s="1">
        <v>3.5117000000000002E-2</v>
      </c>
      <c r="E198" s="1" t="str">
        <f t="shared" si="0"/>
        <v>PGWCX</v>
      </c>
    </row>
    <row r="199" spans="1:5" ht="14.25" customHeight="1" x14ac:dyDescent="0.25">
      <c r="A199" s="3">
        <v>41820</v>
      </c>
      <c r="B199" s="1">
        <v>4516</v>
      </c>
      <c r="C199" s="1">
        <v>223.1</v>
      </c>
      <c r="D199" s="1">
        <v>1.3316E-2</v>
      </c>
      <c r="E199" s="1" t="str">
        <f t="shared" si="0"/>
        <v>PGWCX</v>
      </c>
    </row>
    <row r="200" spans="1:5" ht="14.25" customHeight="1" x14ac:dyDescent="0.25">
      <c r="A200" s="3">
        <v>41851</v>
      </c>
      <c r="B200" s="1">
        <v>4516</v>
      </c>
      <c r="C200" s="1">
        <v>217.3</v>
      </c>
      <c r="D200" s="1">
        <v>-1.8773000000000001E-2</v>
      </c>
      <c r="E200" s="1" t="str">
        <f t="shared" si="0"/>
        <v>PGWCX</v>
      </c>
    </row>
    <row r="201" spans="1:5" ht="14.25" customHeight="1" x14ac:dyDescent="0.25">
      <c r="A201" s="3">
        <v>41880</v>
      </c>
      <c r="B201" s="1">
        <v>4516</v>
      </c>
      <c r="C201" s="1">
        <v>226.3</v>
      </c>
      <c r="D201" s="1">
        <v>4.8787999999999998E-2</v>
      </c>
      <c r="E201" s="1" t="str">
        <f t="shared" si="0"/>
        <v>PGWCX</v>
      </c>
    </row>
    <row r="202" spans="1:5" ht="14.25" customHeight="1" x14ac:dyDescent="0.25">
      <c r="A202" s="3">
        <v>41912</v>
      </c>
      <c r="B202" s="1">
        <v>4516</v>
      </c>
      <c r="C202" s="1">
        <v>218.9</v>
      </c>
      <c r="D202" s="1">
        <v>-2.6755999999999999E-2</v>
      </c>
      <c r="E202" s="1" t="str">
        <f t="shared" si="0"/>
        <v>PGWCX</v>
      </c>
    </row>
    <row r="203" spans="1:5" ht="14.25" customHeight="1" x14ac:dyDescent="0.25">
      <c r="A203" s="3">
        <v>41943</v>
      </c>
      <c r="B203" s="1">
        <v>4516</v>
      </c>
      <c r="C203" s="1">
        <v>224.2</v>
      </c>
      <c r="D203" s="1">
        <v>2.8428999999999999E-2</v>
      </c>
      <c r="E203" s="1" t="str">
        <f t="shared" si="0"/>
        <v>PGWCX</v>
      </c>
    </row>
    <row r="204" spans="1:5" ht="14.25" customHeight="1" x14ac:dyDescent="0.25">
      <c r="A204" s="3">
        <v>41971</v>
      </c>
      <c r="B204" s="1">
        <v>4516</v>
      </c>
      <c r="C204" s="1">
        <v>226.9</v>
      </c>
      <c r="D204" s="1">
        <v>1.5188E-2</v>
      </c>
      <c r="E204" s="1" t="str">
        <f t="shared" si="0"/>
        <v>PGWCX</v>
      </c>
    </row>
    <row r="205" spans="1:5" ht="14.25" customHeight="1" x14ac:dyDescent="0.25">
      <c r="A205" s="3">
        <v>42004</v>
      </c>
      <c r="B205" s="1">
        <v>4516</v>
      </c>
      <c r="C205" s="1">
        <v>220.6</v>
      </c>
      <c r="D205" s="1">
        <v>-9.3690000000000006E-3</v>
      </c>
      <c r="E205" s="1" t="str">
        <f t="shared" si="0"/>
        <v>PGWCX</v>
      </c>
    </row>
    <row r="206" spans="1:5" ht="14.25" customHeight="1" x14ac:dyDescent="0.25">
      <c r="A206" s="3">
        <v>42034</v>
      </c>
      <c r="B206" s="1">
        <v>4516</v>
      </c>
      <c r="C206" s="1">
        <v>217.7</v>
      </c>
      <c r="D206" s="1">
        <v>-8.4770000000000002E-3</v>
      </c>
      <c r="E206" s="1" t="str">
        <f t="shared" si="0"/>
        <v>PGWCX</v>
      </c>
    </row>
    <row r="207" spans="1:5" ht="14.25" customHeight="1" x14ac:dyDescent="0.25">
      <c r="A207" s="3">
        <v>42062</v>
      </c>
      <c r="B207" s="1">
        <v>4516</v>
      </c>
      <c r="C207" s="1">
        <v>231.5</v>
      </c>
      <c r="D207" s="1">
        <v>7.0792999999999995E-2</v>
      </c>
      <c r="E207" s="1" t="str">
        <f t="shared" si="0"/>
        <v>PGWCX</v>
      </c>
    </row>
    <row r="208" spans="1:5" ht="14.25" customHeight="1" x14ac:dyDescent="0.25">
      <c r="A208" s="3">
        <v>42094</v>
      </c>
      <c r="B208" s="1">
        <v>4516</v>
      </c>
      <c r="C208" s="1">
        <v>226.5</v>
      </c>
      <c r="D208" s="1">
        <v>-8.9429999999999996E-3</v>
      </c>
      <c r="E208" s="1" t="str">
        <f t="shared" si="0"/>
        <v>PGWCX</v>
      </c>
    </row>
    <row r="209" spans="1:5" ht="14.25" customHeight="1" x14ac:dyDescent="0.25">
      <c r="A209" s="3">
        <v>42124</v>
      </c>
      <c r="B209" s="1">
        <v>4516</v>
      </c>
      <c r="C209" s="1">
        <v>225.5</v>
      </c>
      <c r="D209" s="1">
        <v>-3.2200000000000002E-4</v>
      </c>
      <c r="E209" s="1" t="str">
        <f t="shared" si="0"/>
        <v>PGWCX</v>
      </c>
    </row>
    <row r="210" spans="1:5" ht="14.25" customHeight="1" x14ac:dyDescent="0.25">
      <c r="A210" s="3">
        <v>42153</v>
      </c>
      <c r="B210" s="1">
        <v>4516</v>
      </c>
      <c r="C210" s="1">
        <v>228.4</v>
      </c>
      <c r="D210" s="1">
        <v>2.0954E-2</v>
      </c>
      <c r="E210" s="1" t="str">
        <f t="shared" si="0"/>
        <v>PGWCX</v>
      </c>
    </row>
    <row r="211" spans="1:5" ht="14.25" customHeight="1" x14ac:dyDescent="0.25">
      <c r="A211" s="3">
        <v>42185</v>
      </c>
      <c r="B211" s="1">
        <v>4516</v>
      </c>
      <c r="C211" s="1">
        <v>227.6</v>
      </c>
      <c r="D211" s="1">
        <v>-4.4209999999999996E-3</v>
      </c>
      <c r="E211" s="1" t="str">
        <f t="shared" si="0"/>
        <v>PGWCX</v>
      </c>
    </row>
    <row r="212" spans="1:5" ht="14.25" customHeight="1" x14ac:dyDescent="0.25">
      <c r="A212" s="3">
        <v>42216</v>
      </c>
      <c r="B212" s="1">
        <v>4516</v>
      </c>
      <c r="C212" s="1">
        <v>236</v>
      </c>
      <c r="D212" s="1">
        <v>3.8376E-2</v>
      </c>
      <c r="E212" s="1" t="str">
        <f t="shared" si="0"/>
        <v>PGWCX</v>
      </c>
    </row>
    <row r="213" spans="1:5" ht="14.25" customHeight="1" x14ac:dyDescent="0.25">
      <c r="A213" s="3">
        <v>42247</v>
      </c>
      <c r="B213" s="1">
        <v>4516</v>
      </c>
      <c r="C213" s="1">
        <v>219.4</v>
      </c>
      <c r="D213" s="1">
        <v>-6.8418000000000007E-2</v>
      </c>
      <c r="E213" s="1" t="str">
        <f t="shared" si="0"/>
        <v>PGWCX</v>
      </c>
    </row>
    <row r="214" spans="1:5" ht="14.25" customHeight="1" x14ac:dyDescent="0.25">
      <c r="A214" s="3">
        <v>42277</v>
      </c>
      <c r="B214" s="1">
        <v>4516</v>
      </c>
      <c r="C214" s="1">
        <v>213.5</v>
      </c>
      <c r="D214" s="1">
        <v>-1.8033E-2</v>
      </c>
      <c r="E214" s="1" t="str">
        <f t="shared" si="0"/>
        <v>PGWCX</v>
      </c>
    </row>
    <row r="215" spans="1:5" ht="14.25" customHeight="1" x14ac:dyDescent="0.25">
      <c r="A215" s="3">
        <v>42307</v>
      </c>
      <c r="B215" s="1">
        <v>4516</v>
      </c>
      <c r="C215" s="1">
        <v>231.4</v>
      </c>
      <c r="D215" s="1">
        <v>8.2805000000000004E-2</v>
      </c>
      <c r="E215" s="1" t="str">
        <f t="shared" si="0"/>
        <v>PGWCX</v>
      </c>
    </row>
    <row r="216" spans="1:5" ht="14.25" customHeight="1" x14ac:dyDescent="0.25">
      <c r="A216" s="3">
        <v>42338</v>
      </c>
      <c r="B216" s="1">
        <v>4516</v>
      </c>
      <c r="C216" s="1">
        <v>233.5</v>
      </c>
      <c r="D216" s="1">
        <v>3.7000000000000002E-3</v>
      </c>
      <c r="E216" s="1" t="str">
        <f t="shared" si="0"/>
        <v>PGWCX</v>
      </c>
    </row>
    <row r="217" spans="1:5" ht="14.25" customHeight="1" x14ac:dyDescent="0.25">
      <c r="A217" s="3">
        <v>42369</v>
      </c>
      <c r="B217" s="1">
        <v>4516</v>
      </c>
      <c r="C217" s="1">
        <v>234.1</v>
      </c>
      <c r="D217" s="1">
        <v>-1.0292000000000001E-2</v>
      </c>
      <c r="E217" s="1" t="str">
        <f t="shared" si="0"/>
        <v>PGWCX</v>
      </c>
    </row>
    <row r="218" spans="1:5" ht="14.25" customHeight="1" x14ac:dyDescent="0.25">
      <c r="A218" s="3">
        <v>42398</v>
      </c>
      <c r="B218" s="1">
        <v>4516</v>
      </c>
      <c r="C218" s="1">
        <v>219.9</v>
      </c>
      <c r="D218" s="1">
        <v>-6.7072999999999994E-2</v>
      </c>
      <c r="E218" s="1" t="str">
        <f t="shared" si="0"/>
        <v>PGWCX</v>
      </c>
    </row>
    <row r="219" spans="1:5" ht="14.25" customHeight="1" x14ac:dyDescent="0.25">
      <c r="A219" s="3">
        <v>42429</v>
      </c>
      <c r="B219" s="1">
        <v>4516</v>
      </c>
      <c r="C219" s="1">
        <v>218.4</v>
      </c>
      <c r="D219" s="1">
        <v>-1.0167000000000001E-2</v>
      </c>
      <c r="E219" s="1" t="str">
        <f t="shared" si="0"/>
        <v>PGWCX</v>
      </c>
    </row>
    <row r="220" spans="1:5" ht="14.25" customHeight="1" x14ac:dyDescent="0.25">
      <c r="A220" s="3">
        <v>42460</v>
      </c>
      <c r="B220" s="1">
        <v>4516</v>
      </c>
      <c r="C220" s="1">
        <v>229.3</v>
      </c>
      <c r="D220" s="1">
        <v>5.3925000000000001E-2</v>
      </c>
      <c r="E220" s="1" t="str">
        <f t="shared" si="0"/>
        <v>PGWCX</v>
      </c>
    </row>
    <row r="221" spans="1:5" ht="14.25" customHeight="1" x14ac:dyDescent="0.25">
      <c r="A221" s="3">
        <v>42489</v>
      </c>
      <c r="B221" s="1">
        <v>4516</v>
      </c>
      <c r="C221" s="1">
        <v>232.2</v>
      </c>
      <c r="D221" s="1">
        <v>1.3226999999999999E-2</v>
      </c>
      <c r="E221" s="1" t="str">
        <f t="shared" si="0"/>
        <v>PGWCX</v>
      </c>
    </row>
    <row r="222" spans="1:5" ht="14.25" customHeight="1" x14ac:dyDescent="0.25">
      <c r="A222" s="3">
        <v>42521</v>
      </c>
      <c r="B222" s="1">
        <v>4516</v>
      </c>
      <c r="C222" s="1">
        <v>235.4</v>
      </c>
      <c r="D222" s="1">
        <v>1.7176E-2</v>
      </c>
      <c r="E222" s="1" t="str">
        <f t="shared" si="0"/>
        <v>PGWCX</v>
      </c>
    </row>
    <row r="223" spans="1:5" ht="14.25" customHeight="1" x14ac:dyDescent="0.25">
      <c r="A223" s="3">
        <v>42551</v>
      </c>
      <c r="B223" s="1">
        <v>4516</v>
      </c>
      <c r="C223" s="1">
        <v>230.4</v>
      </c>
      <c r="D223" s="1">
        <v>-1.6548E-2</v>
      </c>
      <c r="E223" s="1" t="str">
        <f t="shared" si="0"/>
        <v>PGWCX</v>
      </c>
    </row>
    <row r="224" spans="1:5" ht="14.25" customHeight="1" x14ac:dyDescent="0.25">
      <c r="A224" s="3">
        <v>42580</v>
      </c>
      <c r="B224" s="1">
        <v>4516</v>
      </c>
      <c r="C224" s="1">
        <v>240.8</v>
      </c>
      <c r="D224" s="1">
        <v>5.2540999999999997E-2</v>
      </c>
      <c r="E224" s="1" t="str">
        <f t="shared" si="0"/>
        <v>PGWCX</v>
      </c>
    </row>
    <row r="225" spans="1:5" ht="14.25" customHeight="1" x14ac:dyDescent="0.25">
      <c r="A225" s="3">
        <v>42613</v>
      </c>
      <c r="B225" s="1">
        <v>4516</v>
      </c>
      <c r="C225" s="1">
        <v>237.7</v>
      </c>
      <c r="D225" s="1">
        <v>-6.5250000000000004E-3</v>
      </c>
      <c r="E225" s="1" t="str">
        <f t="shared" si="0"/>
        <v>PGWCX</v>
      </c>
    </row>
    <row r="226" spans="1:5" ht="14.25" customHeight="1" x14ac:dyDescent="0.25">
      <c r="A226" s="3">
        <v>42643</v>
      </c>
      <c r="B226" s="1">
        <v>4516</v>
      </c>
      <c r="C226" s="1">
        <v>237.5</v>
      </c>
      <c r="D226" s="1">
        <v>2.2989999999999998E-3</v>
      </c>
      <c r="E226" s="1" t="str">
        <f t="shared" si="0"/>
        <v>PGWCX</v>
      </c>
    </row>
    <row r="227" spans="1:5" ht="14.25" customHeight="1" x14ac:dyDescent="0.25">
      <c r="A227" s="3">
        <v>42674</v>
      </c>
      <c r="B227" s="1">
        <v>4516</v>
      </c>
      <c r="C227" s="1">
        <v>228.8</v>
      </c>
      <c r="D227" s="1">
        <v>-2.6211999999999999E-2</v>
      </c>
      <c r="E227" s="1" t="str">
        <f t="shared" si="0"/>
        <v>PGWCX</v>
      </c>
    </row>
    <row r="228" spans="1:5" ht="14.25" customHeight="1" x14ac:dyDescent="0.25">
      <c r="A228" s="3">
        <v>42704</v>
      </c>
      <c r="B228" s="1">
        <v>4516</v>
      </c>
      <c r="C228" s="1">
        <v>225.4</v>
      </c>
      <c r="D228" s="1">
        <v>-2.019E-3</v>
      </c>
      <c r="E228" s="1" t="str">
        <f t="shared" si="0"/>
        <v>PGWCX</v>
      </c>
    </row>
    <row r="229" spans="1:5" ht="14.25" customHeight="1" x14ac:dyDescent="0.25">
      <c r="A229" s="3">
        <v>42734</v>
      </c>
      <c r="B229" s="1">
        <v>4516</v>
      </c>
      <c r="C229" s="1">
        <v>222.4</v>
      </c>
      <c r="D229" s="1">
        <v>2.5339999999999998E-3</v>
      </c>
      <c r="E229" s="1" t="str">
        <f t="shared" si="0"/>
        <v>PGWCX</v>
      </c>
    </row>
    <row r="230" spans="1:5" ht="14.25" customHeight="1" x14ac:dyDescent="0.25">
      <c r="A230" s="3">
        <v>42766</v>
      </c>
      <c r="B230" s="1">
        <v>4516</v>
      </c>
      <c r="C230" s="1">
        <v>227.5</v>
      </c>
      <c r="D230" s="1">
        <v>3.8621999999999997E-2</v>
      </c>
      <c r="E230" s="1" t="str">
        <f t="shared" si="0"/>
        <v>PGWCX</v>
      </c>
    </row>
    <row r="231" spans="1:5" ht="14.25" customHeight="1" x14ac:dyDescent="0.25">
      <c r="A231" s="3">
        <v>42794</v>
      </c>
      <c r="B231" s="1">
        <v>4516</v>
      </c>
      <c r="C231" s="1">
        <v>231.1</v>
      </c>
      <c r="D231" s="1">
        <v>2.7806000000000001E-2</v>
      </c>
      <c r="E231" s="1" t="str">
        <f t="shared" si="0"/>
        <v>PGWCX</v>
      </c>
    </row>
    <row r="232" spans="1:5" ht="14.25" customHeight="1" x14ac:dyDescent="0.25">
      <c r="A232" s="3">
        <v>42825</v>
      </c>
      <c r="B232" s="1">
        <v>4516</v>
      </c>
      <c r="C232" s="1">
        <v>232.5</v>
      </c>
      <c r="D232" s="1">
        <v>1.6296999999999999E-2</v>
      </c>
      <c r="E232" s="1" t="str">
        <f t="shared" si="0"/>
        <v>PGWCX</v>
      </c>
    </row>
    <row r="233" spans="1:5" ht="14.25" customHeight="1" x14ac:dyDescent="0.25">
      <c r="A233" s="3">
        <v>42853</v>
      </c>
      <c r="B233" s="1">
        <v>4516</v>
      </c>
      <c r="C233" s="1">
        <v>236</v>
      </c>
      <c r="D233" s="1">
        <v>2.6298999999999999E-2</v>
      </c>
      <c r="E233" s="1" t="str">
        <f t="shared" si="0"/>
        <v>PGWCX</v>
      </c>
    </row>
    <row r="234" spans="1:5" ht="14.25" customHeight="1" x14ac:dyDescent="0.25">
      <c r="A234" s="3">
        <v>42886</v>
      </c>
      <c r="B234" s="1">
        <v>4516</v>
      </c>
      <c r="C234" s="1">
        <v>221.2</v>
      </c>
      <c r="D234" s="1">
        <v>3.125E-2</v>
      </c>
      <c r="E234" s="1" t="str">
        <f t="shared" si="0"/>
        <v>PGWCX</v>
      </c>
    </row>
    <row r="235" spans="1:5" ht="14.25" customHeight="1" x14ac:dyDescent="0.25">
      <c r="A235" s="3">
        <v>42916</v>
      </c>
      <c r="B235" s="1">
        <v>4516</v>
      </c>
      <c r="C235" s="1">
        <v>218</v>
      </c>
      <c r="D235" s="1">
        <v>-7.273E-3</v>
      </c>
      <c r="E235" s="1" t="str">
        <f t="shared" si="0"/>
        <v>PGWCX</v>
      </c>
    </row>
    <row r="236" spans="1:5" ht="14.25" customHeight="1" x14ac:dyDescent="0.25">
      <c r="A236" s="3">
        <v>42947</v>
      </c>
      <c r="B236" s="1">
        <v>4516</v>
      </c>
      <c r="C236" s="1">
        <v>220.9</v>
      </c>
      <c r="D236" s="1">
        <v>2.4420000000000001E-2</v>
      </c>
      <c r="E236" s="1" t="str">
        <f t="shared" si="0"/>
        <v>PGWCX</v>
      </c>
    </row>
    <row r="237" spans="1:5" ht="14.25" customHeight="1" x14ac:dyDescent="0.25">
      <c r="A237" s="3">
        <v>42978</v>
      </c>
      <c r="B237" s="1">
        <v>4516</v>
      </c>
      <c r="C237" s="1">
        <v>223.7</v>
      </c>
      <c r="D237" s="1">
        <v>1.9963999999999999E-2</v>
      </c>
      <c r="E237" s="1" t="str">
        <f t="shared" si="0"/>
        <v>PGWCX</v>
      </c>
    </row>
    <row r="238" spans="1:5" ht="14.25" customHeight="1" x14ac:dyDescent="0.25">
      <c r="A238" s="3">
        <v>43007</v>
      </c>
      <c r="B238" s="1">
        <v>4516</v>
      </c>
      <c r="C238" s="1">
        <v>225.1</v>
      </c>
      <c r="D238" s="1">
        <v>1.7527999999999998E-2</v>
      </c>
      <c r="E238" s="1" t="str">
        <f t="shared" si="0"/>
        <v>PGWCX</v>
      </c>
    </row>
    <row r="239" spans="1:5" ht="14.25" customHeight="1" x14ac:dyDescent="0.25">
      <c r="A239" s="3">
        <v>43039</v>
      </c>
      <c r="B239" s="1">
        <v>4516</v>
      </c>
      <c r="C239" s="1">
        <v>229.2</v>
      </c>
      <c r="D239" s="1">
        <v>3.4166000000000002E-2</v>
      </c>
      <c r="E239" s="1" t="str">
        <f t="shared" si="0"/>
        <v>PGWCX</v>
      </c>
    </row>
    <row r="240" spans="1:5" ht="14.25" customHeight="1" x14ac:dyDescent="0.25">
      <c r="A240" s="3">
        <v>43069</v>
      </c>
      <c r="B240" s="1">
        <v>4516</v>
      </c>
      <c r="C240" s="1">
        <v>237.6</v>
      </c>
      <c r="D240" s="1">
        <v>4.0254999999999999E-2</v>
      </c>
      <c r="E240" s="1" t="str">
        <f t="shared" si="0"/>
        <v>PGWCX</v>
      </c>
    </row>
    <row r="241" spans="1:5" ht="14.25" customHeight="1" x14ac:dyDescent="0.25">
      <c r="A241" s="3">
        <v>43098</v>
      </c>
      <c r="B241" s="1">
        <v>4516</v>
      </c>
      <c r="C241" s="1">
        <v>234.9</v>
      </c>
      <c r="D241" s="1">
        <v>5.6599999999999999E-4</v>
      </c>
      <c r="E241" s="1" t="str">
        <f t="shared" si="0"/>
        <v>PGWCX</v>
      </c>
    </row>
    <row r="242" spans="1:5" ht="14.25" customHeight="1" x14ac:dyDescent="0.25">
      <c r="A242" s="3">
        <v>43131</v>
      </c>
      <c r="B242" s="1">
        <v>4516</v>
      </c>
      <c r="C242" s="1">
        <v>248.6</v>
      </c>
      <c r="D242" s="1">
        <v>7.2029999999999997E-2</v>
      </c>
      <c r="E242" s="1" t="str">
        <f t="shared" si="0"/>
        <v>PGWCX</v>
      </c>
    </row>
    <row r="243" spans="1:5" ht="14.25" customHeight="1" x14ac:dyDescent="0.25">
      <c r="A243" s="3">
        <v>43159</v>
      </c>
      <c r="B243" s="1">
        <v>4516</v>
      </c>
      <c r="C243" s="1">
        <v>241.5</v>
      </c>
      <c r="D243" s="1">
        <v>-1.7240999999999999E-2</v>
      </c>
      <c r="E243" s="1" t="str">
        <f t="shared" si="0"/>
        <v>PGWCX</v>
      </c>
    </row>
    <row r="244" spans="1:5" ht="14.25" customHeight="1" x14ac:dyDescent="0.25">
      <c r="A244" s="3">
        <v>43188</v>
      </c>
      <c r="B244" s="1">
        <v>4516</v>
      </c>
      <c r="C244" s="1">
        <v>229.6</v>
      </c>
      <c r="D244" s="1">
        <v>-3.3798000000000002E-2</v>
      </c>
      <c r="E244" s="1" t="str">
        <f t="shared" si="0"/>
        <v>PGWCX</v>
      </c>
    </row>
    <row r="245" spans="1:5" ht="14.25" customHeight="1" x14ac:dyDescent="0.25">
      <c r="A245" s="3">
        <v>43220</v>
      </c>
      <c r="B245" s="1">
        <v>4516</v>
      </c>
      <c r="C245" s="1">
        <v>228.6</v>
      </c>
      <c r="D245" s="1">
        <v>4.5389999999999996E-3</v>
      </c>
      <c r="E245" s="1" t="str">
        <f t="shared" si="0"/>
        <v>PGWCX</v>
      </c>
    </row>
    <row r="246" spans="1:5" ht="14.25" customHeight="1" x14ac:dyDescent="0.25">
      <c r="A246" s="3">
        <v>43251</v>
      </c>
      <c r="B246" s="1">
        <v>4516</v>
      </c>
      <c r="C246" s="1">
        <v>237.6</v>
      </c>
      <c r="D246" s="1">
        <v>4.6783999999999999E-2</v>
      </c>
      <c r="E246" s="1" t="str">
        <f t="shared" si="0"/>
        <v>PGWCX</v>
      </c>
    </row>
    <row r="247" spans="1:5" ht="14.25" customHeight="1" x14ac:dyDescent="0.25">
      <c r="A247" s="3">
        <v>43280</v>
      </c>
      <c r="B247" s="1">
        <v>4516</v>
      </c>
      <c r="C247" s="1">
        <v>233.9</v>
      </c>
      <c r="D247" s="1">
        <v>7.6199999999999998E-4</v>
      </c>
      <c r="E247" s="1" t="str">
        <f t="shared" si="0"/>
        <v>PGWCX</v>
      </c>
    </row>
    <row r="248" spans="1:5" ht="14.25" customHeight="1" x14ac:dyDescent="0.25">
      <c r="A248" s="3">
        <v>43312</v>
      </c>
      <c r="B248" s="1">
        <v>4516</v>
      </c>
      <c r="C248" s="1">
        <v>235.6</v>
      </c>
      <c r="D248" s="1">
        <v>1.7000999999999999E-2</v>
      </c>
      <c r="E248" s="1" t="str">
        <f t="shared" si="0"/>
        <v>PGWCX</v>
      </c>
    </row>
    <row r="249" spans="1:5" ht="14.25" customHeight="1" x14ac:dyDescent="0.25">
      <c r="A249" s="3">
        <v>43343</v>
      </c>
      <c r="B249" s="1">
        <v>4516</v>
      </c>
      <c r="C249" s="1">
        <v>248.2</v>
      </c>
      <c r="D249" s="1">
        <v>6.2126000000000001E-2</v>
      </c>
      <c r="E249" s="1" t="str">
        <f t="shared" si="0"/>
        <v>PGWCX</v>
      </c>
    </row>
    <row r="250" spans="1:5" ht="14.25" customHeight="1" x14ac:dyDescent="0.25">
      <c r="A250" s="3">
        <v>43371</v>
      </c>
      <c r="B250" s="1">
        <v>4516</v>
      </c>
      <c r="C250" s="1">
        <v>247.6</v>
      </c>
      <c r="D250" s="1">
        <v>2.114E-3</v>
      </c>
      <c r="E250" s="1" t="str">
        <f t="shared" si="0"/>
        <v>PGWCX</v>
      </c>
    </row>
    <row r="251" spans="1:5" ht="14.25" customHeight="1" x14ac:dyDescent="0.25">
      <c r="A251" s="3">
        <v>43404</v>
      </c>
      <c r="B251" s="1">
        <v>4516</v>
      </c>
      <c r="C251" s="1">
        <v>52.6</v>
      </c>
      <c r="D251" s="1">
        <v>-0.11744</v>
      </c>
      <c r="E251" s="1" t="str">
        <f t="shared" si="0"/>
        <v>PGWCX</v>
      </c>
    </row>
    <row r="252" spans="1:5" ht="14.25" customHeight="1" x14ac:dyDescent="0.25">
      <c r="A252" s="3">
        <v>43434</v>
      </c>
      <c r="B252" s="1">
        <v>4516</v>
      </c>
      <c r="C252" s="1">
        <v>52.8</v>
      </c>
      <c r="D252" s="1">
        <v>1.3015000000000001E-2</v>
      </c>
      <c r="E252" s="1" t="str">
        <f t="shared" si="0"/>
        <v>PGWCX</v>
      </c>
    </row>
    <row r="253" spans="1:5" ht="14.25" customHeight="1" x14ac:dyDescent="0.25">
      <c r="A253" s="3">
        <v>43465</v>
      </c>
      <c r="B253" s="1">
        <v>4516</v>
      </c>
      <c r="C253" s="1">
        <v>47.4</v>
      </c>
      <c r="D253" s="1">
        <v>-9.7128000000000006E-2</v>
      </c>
      <c r="E253" s="1" t="str">
        <f t="shared" si="0"/>
        <v>PGWCX</v>
      </c>
    </row>
    <row r="254" spans="1:5" ht="14.25" customHeight="1" x14ac:dyDescent="0.25">
      <c r="A254" s="3">
        <v>43496</v>
      </c>
      <c r="B254" s="1">
        <v>4516</v>
      </c>
      <c r="C254" s="1">
        <v>51.1</v>
      </c>
      <c r="D254" s="1">
        <v>9.7921999999999995E-2</v>
      </c>
      <c r="E254" s="1" t="str">
        <f t="shared" si="0"/>
        <v>PGWCX</v>
      </c>
    </row>
    <row r="255" spans="1:5" ht="14.25" customHeight="1" x14ac:dyDescent="0.25">
      <c r="A255" s="3">
        <v>43524</v>
      </c>
      <c r="B255" s="1">
        <v>4516</v>
      </c>
      <c r="C255" s="1">
        <v>51.6</v>
      </c>
      <c r="D255" s="1">
        <v>3.4648999999999999E-2</v>
      </c>
      <c r="E255" s="1" t="str">
        <f t="shared" si="0"/>
        <v>PGWCX</v>
      </c>
    </row>
    <row r="256" spans="1:5" ht="14.25" customHeight="1" x14ac:dyDescent="0.25">
      <c r="A256" s="3">
        <v>43553</v>
      </c>
      <c r="B256" s="1">
        <v>4516</v>
      </c>
      <c r="C256" s="1">
        <v>49.4</v>
      </c>
      <c r="D256" s="1">
        <v>2.1085E-2</v>
      </c>
      <c r="E256" s="1" t="str">
        <f t="shared" si="0"/>
        <v>PGWCX</v>
      </c>
    </row>
    <row r="257" spans="1:5" ht="14.25" customHeight="1" x14ac:dyDescent="0.25">
      <c r="A257" s="3">
        <v>43585</v>
      </c>
      <c r="B257" s="1">
        <v>4516</v>
      </c>
      <c r="C257" s="1">
        <v>51.2</v>
      </c>
      <c r="D257" s="1">
        <v>4.5551000000000001E-2</v>
      </c>
      <c r="E257" s="1" t="str">
        <f t="shared" ref="E257:E325" si="1">IF(B257=12663,"FGINX",IF(B257=4516,"PGWCX","SPFIX"))</f>
        <v>PGWCX</v>
      </c>
    </row>
    <row r="258" spans="1:5" ht="14.25" customHeight="1" x14ac:dyDescent="0.25">
      <c r="A258" s="3">
        <v>43616</v>
      </c>
      <c r="B258" s="1">
        <v>4516</v>
      </c>
      <c r="C258" s="1">
        <v>46.6</v>
      </c>
      <c r="D258" s="1">
        <v>-6.6512000000000002E-2</v>
      </c>
      <c r="E258" s="1" t="str">
        <f t="shared" si="1"/>
        <v>PGWCX</v>
      </c>
    </row>
    <row r="259" spans="1:5" ht="14.25" customHeight="1" x14ac:dyDescent="0.25">
      <c r="A259" s="3">
        <v>43644</v>
      </c>
      <c r="B259" s="1">
        <v>4516</v>
      </c>
      <c r="C259" s="1">
        <v>48.7</v>
      </c>
      <c r="D259" s="1">
        <v>7.0940000000000003E-2</v>
      </c>
      <c r="E259" s="1" t="str">
        <f t="shared" si="1"/>
        <v>PGWCX</v>
      </c>
    </row>
    <row r="260" spans="1:5" ht="14.25" customHeight="1" x14ac:dyDescent="0.25">
      <c r="A260" s="3">
        <v>43677</v>
      </c>
      <c r="B260" s="1">
        <v>4516</v>
      </c>
      <c r="C260" s="1">
        <v>47.4</v>
      </c>
      <c r="D260" s="1">
        <v>1.3363999999999999E-2</v>
      </c>
      <c r="E260" s="1" t="str">
        <f t="shared" si="1"/>
        <v>PGWCX</v>
      </c>
    </row>
    <row r="261" spans="1:5" ht="14.25" customHeight="1" x14ac:dyDescent="0.25">
      <c r="A261" s="3">
        <v>43707</v>
      </c>
      <c r="B261" s="1">
        <v>4516</v>
      </c>
      <c r="C261" s="1">
        <v>44.7</v>
      </c>
      <c r="D261" s="1">
        <v>-9.1739999999999999E-3</v>
      </c>
      <c r="E261" s="1" t="str">
        <f t="shared" si="1"/>
        <v>PGWCX</v>
      </c>
    </row>
    <row r="262" spans="1:5" ht="14.25" customHeight="1" x14ac:dyDescent="0.25">
      <c r="A262" s="3">
        <v>43738</v>
      </c>
      <c r="B262" s="1">
        <v>4516</v>
      </c>
      <c r="C262" s="1">
        <v>43.6</v>
      </c>
      <c r="D262" s="1">
        <v>-2.1701000000000002E-2</v>
      </c>
      <c r="E262" s="1" t="str">
        <f t="shared" si="1"/>
        <v>PGWCX</v>
      </c>
    </row>
    <row r="263" spans="1:5" ht="14.25" customHeight="1" x14ac:dyDescent="0.25">
      <c r="A263" s="3">
        <v>43769</v>
      </c>
      <c r="B263" s="1">
        <v>4516</v>
      </c>
      <c r="C263" s="1">
        <v>44.2</v>
      </c>
      <c r="D263" s="1">
        <v>2.8098000000000001E-2</v>
      </c>
      <c r="E263" s="1" t="str">
        <f t="shared" si="1"/>
        <v>PGWCX</v>
      </c>
    </row>
    <row r="264" spans="1:5" ht="14.25" customHeight="1" x14ac:dyDescent="0.25">
      <c r="A264" s="3">
        <v>43798</v>
      </c>
      <c r="B264" s="1">
        <v>4516</v>
      </c>
      <c r="C264" s="1">
        <v>46.4</v>
      </c>
      <c r="D264" s="1">
        <v>6.1565000000000002E-2</v>
      </c>
      <c r="E264" s="1" t="str">
        <f t="shared" si="1"/>
        <v>PGWCX</v>
      </c>
    </row>
    <row r="265" spans="1:5" ht="14.25" customHeight="1" x14ac:dyDescent="0.25">
      <c r="A265" s="3">
        <v>43830</v>
      </c>
      <c r="B265" s="1">
        <v>4516</v>
      </c>
      <c r="C265" s="1">
        <v>45.6</v>
      </c>
      <c r="D265" s="1">
        <v>2.1465999999999999E-2</v>
      </c>
      <c r="E265" s="1" t="str">
        <f t="shared" si="1"/>
        <v>PGWCX</v>
      </c>
    </row>
    <row r="266" spans="1:5" ht="14.25" customHeight="1" x14ac:dyDescent="0.25">
      <c r="A266" s="3">
        <v>43861</v>
      </c>
      <c r="B266" s="1">
        <v>4516</v>
      </c>
      <c r="C266" s="1">
        <v>46.2</v>
      </c>
      <c r="D266" s="1">
        <v>3.1710000000000002E-2</v>
      </c>
      <c r="E266" s="1" t="str">
        <f t="shared" si="1"/>
        <v>PGWCX</v>
      </c>
    </row>
    <row r="267" spans="1:5" ht="14.25" customHeight="1" x14ac:dyDescent="0.25">
      <c r="A267" s="3">
        <v>43889</v>
      </c>
      <c r="B267" s="1">
        <v>4516</v>
      </c>
      <c r="C267" s="1">
        <v>42.7</v>
      </c>
      <c r="D267" s="1">
        <v>-6.2738000000000002E-2</v>
      </c>
      <c r="E267" s="1" t="str">
        <f t="shared" si="1"/>
        <v>PGWCX</v>
      </c>
    </row>
    <row r="268" spans="1:5" ht="14.25" customHeight="1" x14ac:dyDescent="0.25">
      <c r="A268" s="3">
        <v>43921</v>
      </c>
      <c r="B268" s="1">
        <v>4516</v>
      </c>
      <c r="C268" s="1">
        <v>37.299999999999997</v>
      </c>
      <c r="D268" s="1">
        <v>-0.105139</v>
      </c>
      <c r="E268" s="1" t="str">
        <f t="shared" si="1"/>
        <v>PGWCX</v>
      </c>
    </row>
    <row r="269" spans="1:5" ht="14.25" customHeight="1" x14ac:dyDescent="0.25">
      <c r="A269" s="3">
        <v>43951</v>
      </c>
      <c r="B269" s="1">
        <v>4516</v>
      </c>
      <c r="C269" s="1">
        <v>42.4</v>
      </c>
      <c r="D269" s="1">
        <v>0.15867000000000001</v>
      </c>
      <c r="E269" s="1" t="str">
        <f t="shared" si="1"/>
        <v>PGWCX</v>
      </c>
    </row>
    <row r="270" spans="1:5" ht="14.25" customHeight="1" x14ac:dyDescent="0.25">
      <c r="A270" s="3">
        <v>43980</v>
      </c>
      <c r="B270" s="1">
        <v>4516</v>
      </c>
      <c r="C270" s="1">
        <v>45.4</v>
      </c>
      <c r="D270" s="1">
        <v>7.3688000000000003E-2</v>
      </c>
      <c r="E270" s="1" t="str">
        <f t="shared" si="1"/>
        <v>PGWCX</v>
      </c>
    </row>
    <row r="271" spans="1:5" ht="14.25" customHeight="1" x14ac:dyDescent="0.25">
      <c r="A271" s="3">
        <v>44012</v>
      </c>
      <c r="B271" s="1">
        <v>4516</v>
      </c>
      <c r="C271" s="1">
        <v>45.9</v>
      </c>
      <c r="D271" s="1">
        <v>5.0105999999999998E-2</v>
      </c>
      <c r="E271" s="1" t="str">
        <f t="shared" si="1"/>
        <v>PGWCX</v>
      </c>
    </row>
    <row r="272" spans="1:5" ht="14.25" customHeight="1" x14ac:dyDescent="0.25">
      <c r="A272" s="3">
        <v>44043</v>
      </c>
      <c r="B272" s="1">
        <v>4516</v>
      </c>
      <c r="C272" s="1">
        <v>47.3</v>
      </c>
      <c r="D272" s="1">
        <v>7.7501E-2</v>
      </c>
      <c r="E272" s="1" t="str">
        <f t="shared" si="1"/>
        <v>PGWCX</v>
      </c>
    </row>
    <row r="273" spans="1:5" ht="14.25" customHeight="1" x14ac:dyDescent="0.25">
      <c r="A273" s="3">
        <v>44074</v>
      </c>
      <c r="B273" s="1">
        <v>4516</v>
      </c>
      <c r="C273" s="1">
        <v>53.2</v>
      </c>
      <c r="D273" s="1">
        <v>0.12882399999999999</v>
      </c>
      <c r="E273" s="1" t="str">
        <f t="shared" si="1"/>
        <v>PGWCX</v>
      </c>
    </row>
    <row r="274" spans="1:5" ht="14.25" customHeight="1" x14ac:dyDescent="0.25">
      <c r="A274" s="3">
        <v>44104</v>
      </c>
      <c r="B274" s="1">
        <v>4516</v>
      </c>
      <c r="C274" s="1">
        <v>50.5</v>
      </c>
      <c r="D274" s="1">
        <v>-3.5425999999999999E-2</v>
      </c>
      <c r="E274" s="1" t="str">
        <f t="shared" si="1"/>
        <v>PGWCX</v>
      </c>
    </row>
    <row r="275" spans="1:5" ht="14.25" customHeight="1" x14ac:dyDescent="0.25">
      <c r="A275" s="3">
        <v>44134</v>
      </c>
      <c r="B275" s="1">
        <v>4516</v>
      </c>
      <c r="C275" s="1">
        <v>47.9</v>
      </c>
      <c r="D275" s="1">
        <v>-4.3628E-2</v>
      </c>
      <c r="E275" s="1" t="str">
        <f t="shared" si="1"/>
        <v>PGWCX</v>
      </c>
    </row>
    <row r="276" spans="1:5" ht="14.25" customHeight="1" x14ac:dyDescent="0.25">
      <c r="A276" s="3">
        <v>44165</v>
      </c>
      <c r="B276" s="1">
        <v>4516</v>
      </c>
      <c r="C276" s="1">
        <v>52.6</v>
      </c>
      <c r="D276" s="1">
        <v>0.10592799999999999</v>
      </c>
      <c r="E276" s="1" t="str">
        <f t="shared" si="1"/>
        <v>PGWCX</v>
      </c>
    </row>
    <row r="277" spans="1:5" ht="14.25" customHeight="1" x14ac:dyDescent="0.25">
      <c r="A277" s="3">
        <v>44196</v>
      </c>
      <c r="B277" s="1">
        <v>4516</v>
      </c>
      <c r="C277" s="1">
        <v>53.8</v>
      </c>
      <c r="D277" s="1">
        <v>5.0606999999999999E-2</v>
      </c>
      <c r="E277" s="1" t="str">
        <f t="shared" si="1"/>
        <v>PGWCX</v>
      </c>
    </row>
    <row r="278" spans="1:5" ht="14.25" customHeight="1" x14ac:dyDescent="0.25">
      <c r="A278" s="3">
        <v>44225</v>
      </c>
      <c r="B278" s="1">
        <v>4516</v>
      </c>
      <c r="C278" s="1">
        <v>51.9</v>
      </c>
      <c r="D278" s="1">
        <v>-1.4657E-2</v>
      </c>
      <c r="E278" s="1" t="str">
        <f t="shared" si="1"/>
        <v>PGWCX</v>
      </c>
    </row>
    <row r="279" spans="1:5" ht="14.25" customHeight="1" x14ac:dyDescent="0.25">
      <c r="A279" s="3">
        <v>44253</v>
      </c>
      <c r="B279" s="1">
        <v>4516</v>
      </c>
      <c r="C279" s="1">
        <v>51.6</v>
      </c>
      <c r="D279" s="1">
        <v>2.2443000000000001E-2</v>
      </c>
      <c r="E279" s="1" t="str">
        <f t="shared" si="1"/>
        <v>PGWCX</v>
      </c>
    </row>
    <row r="280" spans="1:5" ht="14.25" customHeight="1" x14ac:dyDescent="0.25">
      <c r="A280" s="3">
        <v>44286</v>
      </c>
      <c r="B280" s="1">
        <v>4516</v>
      </c>
      <c r="C280" s="1">
        <v>46.7</v>
      </c>
      <c r="D280" s="1">
        <v>3.8279999999999998E-3</v>
      </c>
      <c r="E280" s="1" t="str">
        <f t="shared" si="1"/>
        <v>PGWCX</v>
      </c>
    </row>
    <row r="281" spans="1:5" ht="14.25" customHeight="1" x14ac:dyDescent="0.25">
      <c r="A281" s="3">
        <v>44316</v>
      </c>
      <c r="B281" s="1">
        <v>4516</v>
      </c>
      <c r="C281" s="1">
        <v>48.7</v>
      </c>
      <c r="D281" s="1">
        <v>7.5514999999999999E-2</v>
      </c>
      <c r="E281" s="1" t="str">
        <f t="shared" si="1"/>
        <v>PGWCX</v>
      </c>
    </row>
    <row r="282" spans="1:5" ht="14.25" customHeight="1" x14ac:dyDescent="0.25">
      <c r="A282" s="3">
        <v>44344</v>
      </c>
      <c r="B282" s="1">
        <v>4516</v>
      </c>
      <c r="C282" s="1">
        <v>47</v>
      </c>
      <c r="D282" s="1">
        <v>-2.1277000000000001E-2</v>
      </c>
      <c r="E282" s="1" t="str">
        <f t="shared" si="1"/>
        <v>PGWCX</v>
      </c>
    </row>
    <row r="283" spans="1:5" ht="14.25" customHeight="1" x14ac:dyDescent="0.25">
      <c r="A283" s="3">
        <v>44377</v>
      </c>
      <c r="B283" s="1">
        <v>4516</v>
      </c>
      <c r="C283" s="1">
        <v>48.7</v>
      </c>
      <c r="D283" s="1">
        <v>5.4830999999999998E-2</v>
      </c>
      <c r="E283" s="1" t="str">
        <f t="shared" si="1"/>
        <v>PGWCX</v>
      </c>
    </row>
    <row r="284" spans="1:5" ht="14.25" customHeight="1" x14ac:dyDescent="0.25">
      <c r="A284" s="3">
        <v>44407</v>
      </c>
      <c r="B284" s="1">
        <v>4516</v>
      </c>
      <c r="C284" s="1">
        <v>48.1</v>
      </c>
      <c r="D284" s="1">
        <v>2.7479E-2</v>
      </c>
      <c r="E284" s="1" t="str">
        <f t="shared" si="1"/>
        <v>PGWCX</v>
      </c>
    </row>
    <row r="285" spans="1:5" ht="14.25" customHeight="1" x14ac:dyDescent="0.25">
      <c r="A285" s="3">
        <v>44439</v>
      </c>
      <c r="B285" s="1">
        <v>4516</v>
      </c>
      <c r="C285" s="1">
        <v>49.5</v>
      </c>
      <c r="D285" s="1">
        <v>4.0784000000000001E-2</v>
      </c>
      <c r="E285" s="1" t="str">
        <f t="shared" si="1"/>
        <v>PGWCX</v>
      </c>
    </row>
    <row r="286" spans="1:5" ht="14.25" customHeight="1" x14ac:dyDescent="0.25">
      <c r="A286" s="3">
        <v>44469</v>
      </c>
      <c r="B286" s="1">
        <v>4516</v>
      </c>
      <c r="C286" s="1">
        <v>46</v>
      </c>
      <c r="D286" s="1">
        <v>-5.8243999999999997E-2</v>
      </c>
      <c r="E286" s="1" t="str">
        <f t="shared" si="1"/>
        <v>PGWCX</v>
      </c>
    </row>
    <row r="287" spans="1:5" ht="14.25" customHeight="1" x14ac:dyDescent="0.25">
      <c r="A287" s="3">
        <v>44498</v>
      </c>
      <c r="B287" s="1">
        <v>4516</v>
      </c>
      <c r="C287" s="1">
        <v>48.7</v>
      </c>
      <c r="D287" s="1">
        <v>7.0941000000000004E-2</v>
      </c>
      <c r="E287" s="1" t="str">
        <f t="shared" si="1"/>
        <v>PGWCX</v>
      </c>
    </row>
    <row r="288" spans="1:5" ht="14.25" customHeight="1" x14ac:dyDescent="0.25">
      <c r="A288" s="3">
        <v>44530</v>
      </c>
      <c r="B288" s="1">
        <v>4516</v>
      </c>
      <c r="C288" s="1">
        <v>45.1</v>
      </c>
      <c r="D288" s="1">
        <v>-1.2314E-2</v>
      </c>
      <c r="E288" s="1" t="str">
        <f t="shared" si="1"/>
        <v>PGWCX</v>
      </c>
    </row>
    <row r="289" spans="1:5" ht="14.25" customHeight="1" x14ac:dyDescent="0.25">
      <c r="A289" s="3">
        <v>44561</v>
      </c>
      <c r="B289" s="1">
        <v>4516</v>
      </c>
      <c r="C289" s="1">
        <v>42.3</v>
      </c>
      <c r="D289" s="1">
        <v>1.051E-2</v>
      </c>
      <c r="E289" s="1" t="str">
        <f t="shared" si="1"/>
        <v>PGWCX</v>
      </c>
    </row>
    <row r="290" spans="1:5" ht="14.25" customHeight="1" x14ac:dyDescent="0.25">
      <c r="A290" s="3">
        <v>44592</v>
      </c>
      <c r="B290" s="1">
        <v>4516</v>
      </c>
      <c r="C290" s="1">
        <v>37.6</v>
      </c>
      <c r="D290" s="1">
        <v>-9.5411999999999997E-2</v>
      </c>
      <c r="E290" s="1" t="str">
        <f t="shared" si="1"/>
        <v>PGWCX</v>
      </c>
    </row>
    <row r="291" spans="1:5" ht="14.25" customHeight="1" x14ac:dyDescent="0.25">
      <c r="A291" s="3">
        <v>44620</v>
      </c>
      <c r="B291" s="1">
        <v>4516</v>
      </c>
      <c r="C291" s="1">
        <v>33.6</v>
      </c>
      <c r="D291" s="1">
        <v>-5.6432999999999997E-2</v>
      </c>
      <c r="E291" s="1" t="str">
        <f t="shared" si="1"/>
        <v>PGWCX</v>
      </c>
    </row>
    <row r="292" spans="1:5" ht="14.25" customHeight="1" x14ac:dyDescent="0.25">
      <c r="A292" s="3">
        <v>44651</v>
      </c>
      <c r="B292" s="1">
        <v>4516</v>
      </c>
      <c r="C292" s="1">
        <v>34.4</v>
      </c>
      <c r="D292" s="1">
        <v>4.4499999999999998E-2</v>
      </c>
      <c r="E292" s="1" t="str">
        <f t="shared" si="1"/>
        <v>PGWCX</v>
      </c>
    </row>
    <row r="293" spans="1:5" ht="14.25" customHeight="1" x14ac:dyDescent="0.25">
      <c r="A293" s="3">
        <v>44680</v>
      </c>
      <c r="B293" s="1">
        <v>4516</v>
      </c>
      <c r="C293" s="1">
        <v>29.5</v>
      </c>
      <c r="D293" s="1">
        <v>-0.127471</v>
      </c>
      <c r="E293" s="1" t="str">
        <f t="shared" si="1"/>
        <v>PGWCX</v>
      </c>
    </row>
    <row r="294" spans="1:5" ht="14.25" customHeight="1" x14ac:dyDescent="0.25">
      <c r="A294" s="3">
        <v>44712</v>
      </c>
      <c r="B294" s="1">
        <v>4516</v>
      </c>
      <c r="C294" s="1">
        <v>27.3</v>
      </c>
      <c r="D294" s="1">
        <v>-3.3593999999999999E-2</v>
      </c>
      <c r="E294" s="1" t="str">
        <f t="shared" si="1"/>
        <v>PGWCX</v>
      </c>
    </row>
    <row r="295" spans="1:5" ht="14.25" customHeight="1" x14ac:dyDescent="0.25">
      <c r="A295" s="3">
        <v>44742</v>
      </c>
      <c r="B295" s="1">
        <v>4516</v>
      </c>
      <c r="C295" s="1">
        <v>24.4</v>
      </c>
      <c r="D295" s="1">
        <v>-9.0136999999999995E-2</v>
      </c>
      <c r="E295" s="1" t="str">
        <f t="shared" si="1"/>
        <v>PGWCX</v>
      </c>
    </row>
    <row r="296" spans="1:5" ht="14.25" customHeight="1" x14ac:dyDescent="0.25">
      <c r="A296" s="3">
        <v>44771</v>
      </c>
      <c r="B296" s="1">
        <v>4516</v>
      </c>
      <c r="C296" s="1">
        <v>26.8</v>
      </c>
      <c r="D296" s="1">
        <v>0.120391</v>
      </c>
      <c r="E296" s="1" t="str">
        <f t="shared" si="1"/>
        <v>PGWCX</v>
      </c>
    </row>
    <row r="297" spans="1:5" ht="14.25" customHeight="1" x14ac:dyDescent="0.25">
      <c r="A297" s="3">
        <v>44804</v>
      </c>
      <c r="B297" s="1">
        <v>4516</v>
      </c>
      <c r="C297" s="1">
        <v>24.1</v>
      </c>
      <c r="D297" s="1">
        <v>-6.3045000000000004E-2</v>
      </c>
      <c r="E297" s="1" t="str">
        <f t="shared" si="1"/>
        <v>PGWCX</v>
      </c>
    </row>
    <row r="298" spans="1:5" ht="14.25" customHeight="1" x14ac:dyDescent="0.25">
      <c r="A298" s="3">
        <v>44834</v>
      </c>
      <c r="B298" s="1">
        <v>4516</v>
      </c>
      <c r="C298" s="1">
        <v>21.2</v>
      </c>
      <c r="D298" s="1">
        <v>-9.6488000000000004E-2</v>
      </c>
      <c r="E298" s="1" t="str">
        <f t="shared" si="1"/>
        <v>PGWCX</v>
      </c>
    </row>
    <row r="299" spans="1:5" ht="14.25" customHeight="1" x14ac:dyDescent="0.25">
      <c r="A299" s="3">
        <v>44865</v>
      </c>
      <c r="B299" s="1">
        <v>4516</v>
      </c>
      <c r="C299" s="1">
        <v>21.7</v>
      </c>
      <c r="D299" s="1">
        <v>4.4496000000000001E-2</v>
      </c>
      <c r="E299" s="1" t="str">
        <f t="shared" si="1"/>
        <v>PGWCX</v>
      </c>
    </row>
    <row r="300" spans="1:5" ht="14.25" customHeight="1" x14ac:dyDescent="0.25">
      <c r="A300" s="3">
        <v>44895</v>
      </c>
      <c r="B300" s="1">
        <v>4516</v>
      </c>
      <c r="C300" s="1">
        <v>22</v>
      </c>
      <c r="D300" s="1">
        <v>4.7534E-2</v>
      </c>
      <c r="E300" s="1" t="str">
        <f t="shared" si="1"/>
        <v>PGWCX</v>
      </c>
    </row>
    <row r="301" spans="1:5" ht="14.25" customHeight="1" x14ac:dyDescent="0.25">
      <c r="A301" s="3">
        <v>44925</v>
      </c>
      <c r="B301" s="1">
        <v>4516</v>
      </c>
      <c r="C301" s="1">
        <v>18.600000000000001</v>
      </c>
      <c r="D301" s="1">
        <v>-8.5033999999999998E-2</v>
      </c>
      <c r="E301" s="1" t="str">
        <f t="shared" si="1"/>
        <v>PGWCX</v>
      </c>
    </row>
    <row r="302" spans="1:5" ht="14.25" customHeight="1" x14ac:dyDescent="0.25">
      <c r="A302" s="3">
        <v>44957</v>
      </c>
      <c r="B302" s="1">
        <v>4516</v>
      </c>
      <c r="C302" s="1">
        <v>19.899999999999999</v>
      </c>
      <c r="D302" s="1">
        <v>9.7207000000000002E-2</v>
      </c>
      <c r="E302" s="1" t="str">
        <f t="shared" si="1"/>
        <v>PGWCX</v>
      </c>
    </row>
    <row r="303" spans="1:5" ht="14.25" customHeight="1" x14ac:dyDescent="0.25">
      <c r="A303" s="3">
        <v>44985</v>
      </c>
      <c r="B303" s="1">
        <v>4516</v>
      </c>
      <c r="C303" s="1">
        <v>19.2</v>
      </c>
      <c r="D303" s="1">
        <v>-1.5663E-2</v>
      </c>
      <c r="E303" s="1" t="str">
        <f t="shared" si="1"/>
        <v>PGWCX</v>
      </c>
    </row>
    <row r="304" spans="1:5" ht="14.25" customHeight="1" x14ac:dyDescent="0.25">
      <c r="A304" s="3">
        <v>45016</v>
      </c>
      <c r="B304" s="1">
        <v>4516</v>
      </c>
      <c r="C304" s="1">
        <v>20.6</v>
      </c>
      <c r="D304" s="1">
        <v>9.0501999999999999E-2</v>
      </c>
      <c r="E304" s="1" t="str">
        <f t="shared" si="1"/>
        <v>PGWCX</v>
      </c>
    </row>
    <row r="305" spans="1:5" ht="14.25" customHeight="1" x14ac:dyDescent="0.25">
      <c r="A305" s="3">
        <v>45044</v>
      </c>
      <c r="B305" s="1">
        <v>4516</v>
      </c>
      <c r="C305" s="1">
        <v>20.7</v>
      </c>
      <c r="D305" s="1">
        <v>2.7359999999999999E-2</v>
      </c>
      <c r="E305" s="1" t="str">
        <f t="shared" si="1"/>
        <v>PGWCX</v>
      </c>
    </row>
    <row r="306" spans="1:5" ht="14.25" customHeight="1" x14ac:dyDescent="0.25">
      <c r="A306" s="3">
        <v>45077</v>
      </c>
      <c r="B306" s="1">
        <v>4516</v>
      </c>
      <c r="C306" s="1">
        <v>21.5</v>
      </c>
      <c r="D306" s="1">
        <v>7.2347999999999996E-2</v>
      </c>
      <c r="E306" s="1" t="str">
        <f t="shared" si="1"/>
        <v>PGWCX</v>
      </c>
    </row>
    <row r="307" spans="1:5" ht="14.25" customHeight="1" x14ac:dyDescent="0.25">
      <c r="A307" s="3">
        <v>45107</v>
      </c>
      <c r="B307" s="1">
        <v>4516</v>
      </c>
      <c r="C307" s="1">
        <v>22.5</v>
      </c>
      <c r="D307" s="1">
        <v>6.5810999999999995E-2</v>
      </c>
      <c r="E307" s="1" t="str">
        <f t="shared" si="1"/>
        <v>PGWCX</v>
      </c>
    </row>
    <row r="308" spans="1:5" ht="14.25" customHeight="1" x14ac:dyDescent="0.25">
      <c r="A308" s="3">
        <v>45138</v>
      </c>
      <c r="B308" s="1">
        <v>4516</v>
      </c>
      <c r="C308" s="1">
        <v>22.7</v>
      </c>
      <c r="D308" s="1">
        <v>2.4854000000000001E-2</v>
      </c>
      <c r="E308" s="1" t="str">
        <f t="shared" si="1"/>
        <v>PGWCX</v>
      </c>
    </row>
    <row r="309" spans="1:5" ht="14.25" customHeight="1" x14ac:dyDescent="0.25">
      <c r="A309" s="3">
        <v>45169</v>
      </c>
      <c r="B309" s="1">
        <v>4516</v>
      </c>
      <c r="C309" s="1">
        <v>22.3</v>
      </c>
      <c r="D309" s="1">
        <v>-4.1679999999999998E-3</v>
      </c>
      <c r="E309" s="1" t="str">
        <f t="shared" si="1"/>
        <v>PGWCX</v>
      </c>
    </row>
    <row r="310" spans="1:5" ht="14.25" customHeight="1" x14ac:dyDescent="0.25">
      <c r="A310" s="3">
        <v>45198</v>
      </c>
      <c r="B310" s="1">
        <v>4516</v>
      </c>
      <c r="C310" s="1">
        <v>20.2</v>
      </c>
      <c r="D310" s="1">
        <v>-6.3166E-2</v>
      </c>
      <c r="E310" s="1" t="str">
        <f t="shared" si="1"/>
        <v>PGWCX</v>
      </c>
    </row>
    <row r="311" spans="1:5" ht="14.25" customHeight="1" x14ac:dyDescent="0.25">
      <c r="A311" s="3">
        <v>45230</v>
      </c>
      <c r="B311" s="1">
        <v>4516</v>
      </c>
      <c r="C311" s="1">
        <v>19.3</v>
      </c>
      <c r="D311" s="1">
        <v>-6.9049999999999997E-3</v>
      </c>
      <c r="E311" s="1" t="str">
        <f t="shared" si="1"/>
        <v>PGWCX</v>
      </c>
    </row>
    <row r="312" spans="1:5" ht="14.25" customHeight="1" x14ac:dyDescent="0.25">
      <c r="A312" s="3">
        <v>45260</v>
      </c>
      <c r="B312" s="1">
        <v>4516</v>
      </c>
      <c r="C312" s="1">
        <v>21.1</v>
      </c>
      <c r="D312" s="1">
        <v>0.11779100000000001</v>
      </c>
      <c r="E312" s="1" t="str">
        <f t="shared" si="1"/>
        <v>PGWCX</v>
      </c>
    </row>
    <row r="313" spans="1:5" ht="14.25" customHeight="1" x14ac:dyDescent="0.25">
      <c r="A313" s="3">
        <v>45289</v>
      </c>
      <c r="B313" s="1">
        <v>4516</v>
      </c>
      <c r="C313" s="1">
        <v>21.5</v>
      </c>
      <c r="D313" s="1">
        <v>3.8136999999999997E-2</v>
      </c>
      <c r="E313" s="1" t="str">
        <f t="shared" si="1"/>
        <v>PGWCX</v>
      </c>
    </row>
    <row r="314" spans="1:5" ht="14.25" customHeight="1" x14ac:dyDescent="0.25">
      <c r="A314" s="3">
        <v>45322</v>
      </c>
      <c r="B314" s="1">
        <v>4516</v>
      </c>
      <c r="C314" s="1">
        <v>21.5</v>
      </c>
      <c r="D314" s="1">
        <v>3.4778999999999997E-2</v>
      </c>
      <c r="E314" s="1" t="str">
        <f t="shared" si="1"/>
        <v>PGWCX</v>
      </c>
    </row>
    <row r="315" spans="1:5" ht="14.25" customHeight="1" x14ac:dyDescent="0.25">
      <c r="A315" s="3">
        <v>45351</v>
      </c>
      <c r="B315" s="1">
        <v>4516</v>
      </c>
      <c r="C315" s="1">
        <v>22.5</v>
      </c>
      <c r="D315" s="1">
        <v>7.9507999999999995E-2</v>
      </c>
      <c r="E315" s="1" t="str">
        <f t="shared" si="1"/>
        <v>PGWCX</v>
      </c>
    </row>
    <row r="316" spans="1:5" ht="14.25" customHeight="1" x14ac:dyDescent="0.25">
      <c r="A316" s="3">
        <v>45379</v>
      </c>
      <c r="B316" s="1">
        <v>4516</v>
      </c>
      <c r="C316" s="1">
        <v>23</v>
      </c>
      <c r="D316" s="1">
        <v>2.6783000000000001E-2</v>
      </c>
      <c r="E316" s="1" t="str">
        <f t="shared" si="1"/>
        <v>PGWCX</v>
      </c>
    </row>
    <row r="317" spans="1:5" ht="14.25" customHeight="1" x14ac:dyDescent="0.25">
      <c r="A317" s="3">
        <v>45412</v>
      </c>
      <c r="B317" s="1">
        <v>4516</v>
      </c>
      <c r="C317" s="1">
        <v>21.4</v>
      </c>
      <c r="D317" s="1">
        <v>-4.8908E-2</v>
      </c>
      <c r="E317" s="1" t="str">
        <f t="shared" si="1"/>
        <v>PGWCX</v>
      </c>
    </row>
    <row r="318" spans="1:5" ht="14.25" customHeight="1" x14ac:dyDescent="0.25">
      <c r="A318" s="3">
        <v>45443</v>
      </c>
      <c r="B318" s="1">
        <v>4516</v>
      </c>
      <c r="C318" s="1">
        <v>21.6</v>
      </c>
      <c r="D318" s="1">
        <v>7.6790999999999998E-2</v>
      </c>
      <c r="E318" s="1" t="str">
        <f t="shared" si="1"/>
        <v>PGWCX</v>
      </c>
    </row>
    <row r="319" spans="1:5" ht="14.25" customHeight="1" x14ac:dyDescent="0.25">
      <c r="A319" s="3">
        <v>45471</v>
      </c>
      <c r="B319" s="1">
        <v>4516</v>
      </c>
      <c r="C319" s="1">
        <v>22.4</v>
      </c>
      <c r="D319" s="1">
        <v>7.9273999999999997E-2</v>
      </c>
      <c r="E319" s="1" t="str">
        <f t="shared" si="1"/>
        <v>PGWCX</v>
      </c>
    </row>
    <row r="320" spans="1:5" ht="14.25" customHeight="1" x14ac:dyDescent="0.25">
      <c r="A320" s="3">
        <v>45504</v>
      </c>
      <c r="B320" s="1">
        <v>4516</v>
      </c>
      <c r="C320" s="1">
        <v>21.5</v>
      </c>
      <c r="D320" s="1">
        <v>-3.3627999999999998E-2</v>
      </c>
      <c r="E320" s="1" t="str">
        <f t="shared" si="1"/>
        <v>PGWCX</v>
      </c>
    </row>
    <row r="321" spans="1:5" ht="14.25" customHeight="1" x14ac:dyDescent="0.25">
      <c r="A321" s="3">
        <v>45534</v>
      </c>
      <c r="B321" s="1">
        <v>4516</v>
      </c>
      <c r="C321" s="1">
        <v>22.1</v>
      </c>
      <c r="D321" s="1">
        <v>2.3504000000000001E-2</v>
      </c>
      <c r="E321" s="1" t="str">
        <f t="shared" si="1"/>
        <v>PGWCX</v>
      </c>
    </row>
    <row r="322" spans="1:5" ht="14.25" customHeight="1" x14ac:dyDescent="0.25">
      <c r="A322" s="3">
        <v>45565</v>
      </c>
      <c r="B322" s="1">
        <v>4516</v>
      </c>
      <c r="C322" s="1">
        <v>22</v>
      </c>
      <c r="D322" s="1">
        <v>2.4754000000000002E-2</v>
      </c>
      <c r="E322" s="1" t="str">
        <f t="shared" si="1"/>
        <v>PGWCX</v>
      </c>
    </row>
    <row r="323" spans="1:5" ht="14.25" customHeight="1" x14ac:dyDescent="0.25">
      <c r="A323" s="3">
        <v>45596</v>
      </c>
      <c r="B323" s="1">
        <v>4516</v>
      </c>
      <c r="C323" s="1">
        <v>21.8</v>
      </c>
      <c r="D323" s="1">
        <v>9.0220000000000005E-3</v>
      </c>
      <c r="E323" s="1" t="str">
        <f t="shared" si="1"/>
        <v>PGWCX</v>
      </c>
    </row>
    <row r="324" spans="1:5" ht="14.25" customHeight="1" x14ac:dyDescent="0.25">
      <c r="A324" s="3">
        <v>45625</v>
      </c>
      <c r="B324" s="1">
        <v>4516</v>
      </c>
      <c r="C324" s="1">
        <v>22.8</v>
      </c>
      <c r="D324" s="1">
        <v>6.1148000000000001E-2</v>
      </c>
      <c r="E324" s="1" t="str">
        <f t="shared" si="1"/>
        <v>PGWCX</v>
      </c>
    </row>
    <row r="325" spans="1:5" ht="14.25" customHeight="1" x14ac:dyDescent="0.25">
      <c r="A325" s="3">
        <v>45657</v>
      </c>
      <c r="B325" s="1">
        <v>4516</v>
      </c>
      <c r="C325" s="1">
        <v>22.8</v>
      </c>
      <c r="D325" s="1">
        <v>-1.3623E-2</v>
      </c>
      <c r="E325" s="1" t="str">
        <f t="shared" si="1"/>
        <v>PGWCX</v>
      </c>
    </row>
    <row r="326" spans="1:5" ht="14.25" customHeight="1" x14ac:dyDescent="0.25"/>
    <row r="327" spans="1:5" ht="14.25" customHeight="1" x14ac:dyDescent="0.25"/>
    <row r="328" spans="1:5" ht="14.25" customHeight="1" x14ac:dyDescent="0.25"/>
    <row r="329" spans="1:5" ht="14.25" customHeight="1" x14ac:dyDescent="0.25"/>
    <row r="330" spans="1:5" ht="14.25" customHeight="1" x14ac:dyDescent="0.25"/>
    <row r="331" spans="1:5" ht="14.25" customHeight="1" x14ac:dyDescent="0.25"/>
    <row r="332" spans="1:5" ht="14.25" customHeight="1" x14ac:dyDescent="0.25"/>
    <row r="333" spans="1:5" ht="14.25" customHeight="1" x14ac:dyDescent="0.25"/>
    <row r="334" spans="1:5" ht="14.25" customHeight="1" x14ac:dyDescent="0.25"/>
    <row r="335" spans="1:5" ht="14.25" customHeight="1" x14ac:dyDescent="0.25"/>
    <row r="336" spans="1:5"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00"/>
  <sheetViews>
    <sheetView workbookViewId="0">
      <selection activeCell="I18" sqref="I18"/>
    </sheetView>
  </sheetViews>
  <sheetFormatPr defaultColWidth="12.5703125" defaultRowHeight="15" customHeight="1" x14ac:dyDescent="0.25"/>
  <cols>
    <col min="1" max="1" width="9.85546875" customWidth="1"/>
    <col min="2" max="26" width="8.5703125" customWidth="1"/>
  </cols>
  <sheetData>
    <row r="1" spans="1:18" ht="14.25" customHeight="1" x14ac:dyDescent="0.25">
      <c r="A1" s="1" t="s">
        <v>0</v>
      </c>
      <c r="B1" s="1" t="s">
        <v>1</v>
      </c>
      <c r="C1" s="1" t="s">
        <v>2</v>
      </c>
      <c r="D1" s="1" t="s">
        <v>3</v>
      </c>
      <c r="E1" s="1" t="s">
        <v>4</v>
      </c>
      <c r="H1" s="2" t="s">
        <v>5</v>
      </c>
      <c r="I1" s="2" t="s">
        <v>4</v>
      </c>
      <c r="J1" s="2" t="s">
        <v>6</v>
      </c>
      <c r="K1" s="2" t="s">
        <v>7</v>
      </c>
      <c r="L1" s="2" t="s">
        <v>8</v>
      </c>
      <c r="M1" s="2" t="s">
        <v>9</v>
      </c>
      <c r="N1" s="2" t="s">
        <v>10</v>
      </c>
      <c r="O1" s="2" t="s">
        <v>11</v>
      </c>
      <c r="P1" s="2" t="s">
        <v>12</v>
      </c>
      <c r="Q1" s="2" t="s">
        <v>13</v>
      </c>
      <c r="R1" s="2" t="s">
        <v>14</v>
      </c>
    </row>
    <row r="2" spans="1:18" ht="14.25" customHeight="1" x14ac:dyDescent="0.25">
      <c r="A2" s="3">
        <v>35825</v>
      </c>
      <c r="B2" s="1">
        <v>6981</v>
      </c>
      <c r="C2" s="1">
        <v>82.135999999999996</v>
      </c>
      <c r="D2" s="1">
        <v>1.0885000000000001E-2</v>
      </c>
      <c r="E2" s="1" t="str">
        <f t="shared" ref="E2:E256" si="0">IF(B2=12663,"FGINX",IF(B2=4516,"PGWCX","SPFIX"))</f>
        <v>SPFIX</v>
      </c>
      <c r="H2" s="2" t="s">
        <v>61</v>
      </c>
      <c r="I2" s="2" t="s">
        <v>62</v>
      </c>
      <c r="J2" s="2" t="s">
        <v>63</v>
      </c>
      <c r="K2" s="2" t="s">
        <v>64</v>
      </c>
      <c r="L2" s="2" t="s">
        <v>65</v>
      </c>
      <c r="M2" s="2" t="s">
        <v>66</v>
      </c>
      <c r="N2" s="2" t="s">
        <v>67</v>
      </c>
      <c r="O2" s="5">
        <v>5.0000000000000001E-3</v>
      </c>
      <c r="P2" s="2" t="s">
        <v>68</v>
      </c>
      <c r="Q2" s="2" t="s">
        <v>69</v>
      </c>
      <c r="R2" s="2" t="s">
        <v>70</v>
      </c>
    </row>
    <row r="3" spans="1:18" ht="14.25" customHeight="1" x14ac:dyDescent="0.25">
      <c r="A3" s="3">
        <v>35853</v>
      </c>
      <c r="B3" s="1">
        <v>6981</v>
      </c>
      <c r="C3" s="1">
        <v>88.86</v>
      </c>
      <c r="D3" s="1">
        <v>7.1628999999999998E-2</v>
      </c>
      <c r="E3" s="1" t="str">
        <f t="shared" si="0"/>
        <v>SPFIX</v>
      </c>
    </row>
    <row r="4" spans="1:18" ht="14.25" customHeight="1" x14ac:dyDescent="0.25">
      <c r="A4" s="3">
        <v>35885</v>
      </c>
      <c r="B4" s="1">
        <v>6981</v>
      </c>
      <c r="C4" s="1">
        <v>94.554000000000002</v>
      </c>
      <c r="D4" s="1">
        <v>5.0938999999999998E-2</v>
      </c>
      <c r="E4" s="1" t="str">
        <f t="shared" si="0"/>
        <v>SPFIX</v>
      </c>
    </row>
    <row r="5" spans="1:18" ht="14.25" customHeight="1" x14ac:dyDescent="0.25">
      <c r="A5" s="3">
        <v>35915</v>
      </c>
      <c r="B5" s="1">
        <v>6981</v>
      </c>
      <c r="C5" s="1">
        <v>97.424000000000007</v>
      </c>
      <c r="D5" s="1">
        <v>1.043E-2</v>
      </c>
      <c r="E5" s="1" t="str">
        <f t="shared" si="0"/>
        <v>SPFIX</v>
      </c>
    </row>
    <row r="6" spans="1:18" ht="14.25" customHeight="1" x14ac:dyDescent="0.25">
      <c r="A6" s="3">
        <v>35944</v>
      </c>
      <c r="B6" s="1">
        <v>6981</v>
      </c>
      <c r="C6" s="1">
        <v>97.408000000000001</v>
      </c>
      <c r="D6" s="1">
        <v>-1.7340999999999999E-2</v>
      </c>
      <c r="E6" s="1" t="str">
        <f t="shared" si="0"/>
        <v>SPFIX</v>
      </c>
    </row>
    <row r="7" spans="1:18" ht="14.25" customHeight="1" x14ac:dyDescent="0.25">
      <c r="A7" s="3">
        <v>35976</v>
      </c>
      <c r="B7" s="1">
        <v>6981</v>
      </c>
      <c r="C7" s="1">
        <v>102.932</v>
      </c>
      <c r="D7" s="1">
        <v>3.9945000000000001E-2</v>
      </c>
      <c r="E7" s="1" t="str">
        <f t="shared" si="0"/>
        <v>SPFIX</v>
      </c>
    </row>
    <row r="8" spans="1:18" ht="14.25" customHeight="1" x14ac:dyDescent="0.25">
      <c r="A8" s="3">
        <v>36007</v>
      </c>
      <c r="B8" s="1">
        <v>6981</v>
      </c>
      <c r="C8" s="1">
        <v>103.024</v>
      </c>
      <c r="D8" s="1">
        <v>-1.0952999999999999E-2</v>
      </c>
      <c r="E8" s="1" t="str">
        <f t="shared" si="0"/>
        <v>SPFIX</v>
      </c>
    </row>
    <row r="9" spans="1:18" ht="14.25" customHeight="1" x14ac:dyDescent="0.25">
      <c r="A9" s="3">
        <v>36038</v>
      </c>
      <c r="B9" s="1">
        <v>6981</v>
      </c>
      <c r="C9" s="1">
        <v>88.091999999999999</v>
      </c>
      <c r="D9" s="1">
        <v>-0.14274000000000001</v>
      </c>
      <c r="E9" s="1" t="str">
        <f t="shared" si="0"/>
        <v>SPFIX</v>
      </c>
    </row>
    <row r="10" spans="1:18" ht="14.25" customHeight="1" x14ac:dyDescent="0.25">
      <c r="A10" s="3">
        <v>36068</v>
      </c>
      <c r="B10" s="1">
        <v>6981</v>
      </c>
      <c r="C10" s="1">
        <v>95.1</v>
      </c>
      <c r="D10" s="1">
        <v>6.3129000000000005E-2</v>
      </c>
      <c r="E10" s="1" t="str">
        <f t="shared" si="0"/>
        <v>SPFIX</v>
      </c>
    </row>
    <row r="11" spans="1:18" ht="14.25" customHeight="1" x14ac:dyDescent="0.25">
      <c r="A11" s="3">
        <v>36098</v>
      </c>
      <c r="B11" s="1">
        <v>6981</v>
      </c>
      <c r="C11" s="1">
        <v>104.3</v>
      </c>
      <c r="D11" s="1">
        <v>8.3672999999999997E-2</v>
      </c>
      <c r="E11" s="1" t="str">
        <f t="shared" si="0"/>
        <v>SPFIX</v>
      </c>
    </row>
    <row r="12" spans="1:18" ht="14.25" customHeight="1" x14ac:dyDescent="0.25">
      <c r="A12" s="3">
        <v>36129</v>
      </c>
      <c r="B12" s="1">
        <v>6981</v>
      </c>
      <c r="C12" s="1">
        <v>112.4</v>
      </c>
      <c r="D12" s="1">
        <v>5.9887000000000003E-2</v>
      </c>
      <c r="E12" s="1" t="str">
        <f t="shared" si="0"/>
        <v>SPFIX</v>
      </c>
    </row>
    <row r="13" spans="1:18" ht="14.25" customHeight="1" x14ac:dyDescent="0.25">
      <c r="A13" s="3">
        <v>36160</v>
      </c>
      <c r="B13" s="1">
        <v>6981</v>
      </c>
      <c r="C13" s="1">
        <v>125.2</v>
      </c>
      <c r="D13" s="1">
        <v>5.7832000000000001E-2</v>
      </c>
      <c r="E13" s="1" t="str">
        <f t="shared" si="0"/>
        <v>SPFIX</v>
      </c>
    </row>
    <row r="14" spans="1:18" ht="14.25" customHeight="1" x14ac:dyDescent="0.25">
      <c r="A14" s="3">
        <v>36189</v>
      </c>
      <c r="B14" s="1">
        <v>6981</v>
      </c>
      <c r="C14" s="1">
        <v>131.19999999999999</v>
      </c>
      <c r="D14" s="1">
        <v>4.3195999999999998E-2</v>
      </c>
      <c r="E14" s="1" t="str">
        <f t="shared" si="0"/>
        <v>SPFIX</v>
      </c>
    </row>
    <row r="15" spans="1:18" ht="14.25" customHeight="1" x14ac:dyDescent="0.25">
      <c r="A15" s="3">
        <v>36217</v>
      </c>
      <c r="B15" s="1">
        <v>6981</v>
      </c>
      <c r="C15" s="1">
        <v>124.4</v>
      </c>
      <c r="D15" s="1">
        <v>-3.0780999999999999E-2</v>
      </c>
      <c r="E15" s="1" t="str">
        <f t="shared" si="0"/>
        <v>SPFIX</v>
      </c>
    </row>
    <row r="16" spans="1:18" ht="14.25" customHeight="1" x14ac:dyDescent="0.25">
      <c r="A16" s="3">
        <v>36250</v>
      </c>
      <c r="B16" s="1">
        <v>6981</v>
      </c>
      <c r="C16" s="1">
        <v>131</v>
      </c>
      <c r="D16" s="1">
        <v>3.9190999999999997E-2</v>
      </c>
      <c r="E16" s="1" t="str">
        <f t="shared" si="0"/>
        <v>SPFIX</v>
      </c>
    </row>
    <row r="17" spans="1:5" ht="14.25" customHeight="1" x14ac:dyDescent="0.25">
      <c r="A17" s="3">
        <v>36280</v>
      </c>
      <c r="B17" s="1">
        <v>6981</v>
      </c>
      <c r="C17" s="1">
        <v>137.1</v>
      </c>
      <c r="D17" s="1">
        <v>3.6860999999999998E-2</v>
      </c>
      <c r="E17" s="1" t="str">
        <f t="shared" si="0"/>
        <v>SPFIX</v>
      </c>
    </row>
    <row r="18" spans="1:5" ht="14.25" customHeight="1" x14ac:dyDescent="0.25">
      <c r="A18" s="3">
        <v>36308</v>
      </c>
      <c r="B18" s="1">
        <v>6981</v>
      </c>
      <c r="C18" s="1">
        <v>135.9</v>
      </c>
      <c r="D18" s="1">
        <v>-2.4639000000000001E-2</v>
      </c>
      <c r="E18" s="1" t="str">
        <f t="shared" si="0"/>
        <v>SPFIX</v>
      </c>
    </row>
    <row r="19" spans="1:5" ht="14.25" customHeight="1" x14ac:dyDescent="0.25">
      <c r="A19" s="3">
        <v>36341</v>
      </c>
      <c r="B19" s="1">
        <v>6981</v>
      </c>
      <c r="C19" s="1">
        <v>143.30000000000001</v>
      </c>
      <c r="D19" s="1">
        <v>5.5185999999999999E-2</v>
      </c>
      <c r="E19" s="1" t="str">
        <f t="shared" si="0"/>
        <v>SPFIX</v>
      </c>
    </row>
    <row r="20" spans="1:5" ht="14.25" customHeight="1" x14ac:dyDescent="0.25">
      <c r="A20" s="3">
        <v>36371</v>
      </c>
      <c r="B20" s="1">
        <v>6981</v>
      </c>
      <c r="C20" s="1">
        <v>141.19999999999999</v>
      </c>
      <c r="D20" s="1">
        <v>-3.0542E-2</v>
      </c>
      <c r="E20" s="1" t="str">
        <f t="shared" si="0"/>
        <v>SPFIX</v>
      </c>
    </row>
    <row r="21" spans="1:5" ht="14.25" customHeight="1" x14ac:dyDescent="0.25">
      <c r="A21" s="3">
        <v>36403</v>
      </c>
      <c r="B21" s="1">
        <v>6981</v>
      </c>
      <c r="C21" s="1">
        <v>142.1</v>
      </c>
      <c r="D21" s="1">
        <v>-4.6020000000000002E-3</v>
      </c>
      <c r="E21" s="1" t="str">
        <f t="shared" si="0"/>
        <v>SPFIX</v>
      </c>
    </row>
    <row r="22" spans="1:5" ht="14.25" customHeight="1" x14ac:dyDescent="0.25">
      <c r="A22" s="3">
        <v>36433</v>
      </c>
      <c r="B22" s="1">
        <v>6981</v>
      </c>
      <c r="C22" s="1">
        <v>138.5</v>
      </c>
      <c r="D22" s="1">
        <v>-2.7428999999999999E-2</v>
      </c>
      <c r="E22" s="1" t="str">
        <f t="shared" si="0"/>
        <v>SPFIX</v>
      </c>
    </row>
    <row r="23" spans="1:5" ht="14.25" customHeight="1" x14ac:dyDescent="0.25">
      <c r="A23" s="3">
        <v>36462</v>
      </c>
      <c r="B23" s="1">
        <v>6981</v>
      </c>
      <c r="C23" s="1">
        <v>150.5</v>
      </c>
      <c r="D23" s="1">
        <v>6.3166E-2</v>
      </c>
      <c r="E23" s="1" t="str">
        <f t="shared" si="0"/>
        <v>SPFIX</v>
      </c>
    </row>
    <row r="24" spans="1:5" ht="14.25" customHeight="1" x14ac:dyDescent="0.25">
      <c r="A24" s="3">
        <v>36494</v>
      </c>
      <c r="B24" s="1">
        <v>6981</v>
      </c>
      <c r="C24" s="1">
        <v>146.4</v>
      </c>
      <c r="D24" s="1">
        <v>2.0086E-2</v>
      </c>
      <c r="E24" s="1" t="str">
        <f t="shared" si="0"/>
        <v>SPFIX</v>
      </c>
    </row>
    <row r="25" spans="1:5" ht="14.25" customHeight="1" x14ac:dyDescent="0.25">
      <c r="A25" s="3">
        <v>36525</v>
      </c>
      <c r="B25" s="1">
        <v>6981</v>
      </c>
      <c r="C25" s="1">
        <v>163.9</v>
      </c>
      <c r="D25" s="1">
        <v>6.0393000000000002E-2</v>
      </c>
      <c r="E25" s="1" t="str">
        <f t="shared" si="0"/>
        <v>SPFIX</v>
      </c>
    </row>
    <row r="26" spans="1:5" ht="14.25" customHeight="1" x14ac:dyDescent="0.25">
      <c r="A26" s="3">
        <v>36556</v>
      </c>
      <c r="B26" s="1">
        <v>6981</v>
      </c>
      <c r="C26" s="1">
        <v>153.4</v>
      </c>
      <c r="D26" s="1">
        <v>-5.0319000000000003E-2</v>
      </c>
      <c r="E26" s="1" t="str">
        <f t="shared" si="0"/>
        <v>SPFIX</v>
      </c>
    </row>
    <row r="27" spans="1:5" ht="14.25" customHeight="1" x14ac:dyDescent="0.25">
      <c r="A27" s="3">
        <v>36585</v>
      </c>
      <c r="B27" s="1">
        <v>6981</v>
      </c>
      <c r="C27" s="1">
        <v>147.30000000000001</v>
      </c>
      <c r="D27" s="1">
        <v>-1.9428000000000001E-2</v>
      </c>
      <c r="E27" s="1" t="str">
        <f t="shared" si="0"/>
        <v>SPFIX</v>
      </c>
    </row>
    <row r="28" spans="1:5" ht="14.25" customHeight="1" x14ac:dyDescent="0.25">
      <c r="A28" s="3">
        <v>36616</v>
      </c>
      <c r="B28" s="1">
        <v>6981</v>
      </c>
      <c r="C28" s="1">
        <v>157.19999999999999</v>
      </c>
      <c r="D28" s="1">
        <v>9.6805000000000002E-2</v>
      </c>
      <c r="E28" s="1" t="str">
        <f t="shared" si="0"/>
        <v>SPFIX</v>
      </c>
    </row>
    <row r="29" spans="1:5" ht="14.25" customHeight="1" x14ac:dyDescent="0.25">
      <c r="A29" s="3">
        <v>36644</v>
      </c>
      <c r="B29" s="1">
        <v>6981</v>
      </c>
      <c r="C29" s="1">
        <v>153.5</v>
      </c>
      <c r="D29" s="1">
        <v>-3.0972E-2</v>
      </c>
      <c r="E29" s="1" t="str">
        <f t="shared" si="0"/>
        <v>SPFIX</v>
      </c>
    </row>
    <row r="30" spans="1:5" ht="14.25" customHeight="1" x14ac:dyDescent="0.25">
      <c r="A30" s="3">
        <v>36677</v>
      </c>
      <c r="B30" s="1">
        <v>6981</v>
      </c>
      <c r="C30" s="1">
        <v>158.1</v>
      </c>
      <c r="D30" s="1">
        <v>-1.9720999999999999E-2</v>
      </c>
      <c r="E30" s="1" t="str">
        <f t="shared" si="0"/>
        <v>SPFIX</v>
      </c>
    </row>
    <row r="31" spans="1:5" ht="14.25" customHeight="1" x14ac:dyDescent="0.25">
      <c r="A31" s="3">
        <v>36707</v>
      </c>
      <c r="B31" s="1">
        <v>6981</v>
      </c>
      <c r="C31" s="1">
        <v>159.19999999999999</v>
      </c>
      <c r="D31" s="1">
        <v>2.4492E-2</v>
      </c>
      <c r="E31" s="1" t="str">
        <f t="shared" si="0"/>
        <v>SPFIX</v>
      </c>
    </row>
    <row r="32" spans="1:5" ht="14.25" customHeight="1" x14ac:dyDescent="0.25">
      <c r="A32" s="3">
        <v>36738</v>
      </c>
      <c r="B32" s="1">
        <v>6981</v>
      </c>
      <c r="C32" s="1">
        <v>157.5</v>
      </c>
      <c r="D32" s="1">
        <v>-1.3578E-2</v>
      </c>
      <c r="E32" s="1" t="str">
        <f t="shared" si="0"/>
        <v>SPFIX</v>
      </c>
    </row>
    <row r="33" spans="1:5" ht="14.25" customHeight="1" x14ac:dyDescent="0.25">
      <c r="A33" s="3">
        <v>36769</v>
      </c>
      <c r="B33" s="1">
        <v>6981</v>
      </c>
      <c r="C33" s="1">
        <v>166</v>
      </c>
      <c r="D33" s="1">
        <v>6.1253000000000002E-2</v>
      </c>
      <c r="E33" s="1" t="str">
        <f t="shared" si="0"/>
        <v>SPFIX</v>
      </c>
    </row>
    <row r="34" spans="1:5" ht="14.25" customHeight="1" x14ac:dyDescent="0.25">
      <c r="A34" s="3">
        <v>36798</v>
      </c>
      <c r="B34" s="1">
        <v>6981</v>
      </c>
      <c r="C34" s="1">
        <v>156.9</v>
      </c>
      <c r="D34" s="1">
        <v>-5.1756999999999997E-2</v>
      </c>
      <c r="E34" s="1" t="str">
        <f t="shared" si="0"/>
        <v>SPFIX</v>
      </c>
    </row>
    <row r="35" spans="1:5" ht="14.25" customHeight="1" x14ac:dyDescent="0.25">
      <c r="A35" s="3">
        <v>36830</v>
      </c>
      <c r="B35" s="1">
        <v>6981</v>
      </c>
      <c r="C35" s="1">
        <v>156.69999999999999</v>
      </c>
      <c r="D35" s="1">
        <v>-3.7720000000000002E-3</v>
      </c>
      <c r="E35" s="1" t="str">
        <f t="shared" si="0"/>
        <v>SPFIX</v>
      </c>
    </row>
    <row r="36" spans="1:5" ht="14.25" customHeight="1" x14ac:dyDescent="0.25">
      <c r="A36" s="3">
        <v>36860</v>
      </c>
      <c r="B36" s="1">
        <v>6981</v>
      </c>
      <c r="C36" s="1">
        <v>146.4</v>
      </c>
      <c r="D36" s="1">
        <v>-7.8406000000000003E-2</v>
      </c>
      <c r="E36" s="1" t="str">
        <f t="shared" si="0"/>
        <v>SPFIX</v>
      </c>
    </row>
    <row r="37" spans="1:5" ht="14.25" customHeight="1" x14ac:dyDescent="0.25">
      <c r="A37" s="3">
        <v>36889</v>
      </c>
      <c r="B37" s="1">
        <v>6981</v>
      </c>
      <c r="C37" s="1">
        <v>149.19999999999999</v>
      </c>
      <c r="D37" s="1">
        <v>5.5799999999999999E-3</v>
      </c>
      <c r="E37" s="1" t="str">
        <f t="shared" si="0"/>
        <v>SPFIX</v>
      </c>
    </row>
    <row r="38" spans="1:5" ht="14.25" customHeight="1" x14ac:dyDescent="0.25">
      <c r="A38" s="3">
        <v>36922</v>
      </c>
      <c r="B38" s="1">
        <v>6981</v>
      </c>
      <c r="C38" s="1">
        <v>156</v>
      </c>
      <c r="D38" s="1">
        <v>3.4444000000000002E-2</v>
      </c>
      <c r="E38" s="1" t="str">
        <f t="shared" si="0"/>
        <v>SPFIX</v>
      </c>
    </row>
    <row r="39" spans="1:5" ht="14.25" customHeight="1" x14ac:dyDescent="0.25">
      <c r="A39" s="3">
        <v>36950</v>
      </c>
      <c r="B39" s="1">
        <v>6981</v>
      </c>
      <c r="C39" s="1">
        <v>145.1</v>
      </c>
      <c r="D39" s="1">
        <v>-8.8180999999999995E-2</v>
      </c>
      <c r="E39" s="1" t="str">
        <f t="shared" si="0"/>
        <v>SPFIX</v>
      </c>
    </row>
    <row r="40" spans="1:5" ht="14.25" customHeight="1" x14ac:dyDescent="0.25">
      <c r="A40" s="3">
        <v>36980</v>
      </c>
      <c r="B40" s="1">
        <v>6981</v>
      </c>
      <c r="C40" s="1">
        <v>137.80000000000001</v>
      </c>
      <c r="D40" s="1">
        <v>-6.1966E-2</v>
      </c>
      <c r="E40" s="1" t="str">
        <f t="shared" si="0"/>
        <v>SPFIX</v>
      </c>
    </row>
    <row r="41" spans="1:5" ht="14.25" customHeight="1" x14ac:dyDescent="0.25">
      <c r="A41" s="3">
        <v>37011</v>
      </c>
      <c r="B41" s="1">
        <v>6981</v>
      </c>
      <c r="C41" s="1">
        <v>151.80000000000001</v>
      </c>
      <c r="D41" s="1">
        <v>7.5997999999999996E-2</v>
      </c>
      <c r="E41" s="1" t="str">
        <f t="shared" si="0"/>
        <v>SPFIX</v>
      </c>
    </row>
    <row r="42" spans="1:5" ht="14.25" customHeight="1" x14ac:dyDescent="0.25">
      <c r="A42" s="3">
        <v>37042</v>
      </c>
      <c r="B42" s="1">
        <v>6981</v>
      </c>
      <c r="C42" s="1">
        <v>155.1</v>
      </c>
      <c r="D42" s="1">
        <v>7.1830000000000001E-3</v>
      </c>
      <c r="E42" s="1" t="str">
        <f t="shared" si="0"/>
        <v>SPFIX</v>
      </c>
    </row>
    <row r="43" spans="1:5" ht="14.25" customHeight="1" x14ac:dyDescent="0.25">
      <c r="A43" s="3">
        <v>37071</v>
      </c>
      <c r="B43" s="1">
        <v>6981</v>
      </c>
      <c r="C43" s="1">
        <v>150.30000000000001</v>
      </c>
      <c r="D43" s="1">
        <v>-2.4267E-2</v>
      </c>
      <c r="E43" s="1" t="str">
        <f t="shared" si="0"/>
        <v>SPFIX</v>
      </c>
    </row>
    <row r="44" spans="1:5" ht="14.25" customHeight="1" x14ac:dyDescent="0.25">
      <c r="A44" s="3">
        <v>37103</v>
      </c>
      <c r="B44" s="1">
        <v>6981</v>
      </c>
      <c r="C44" s="1">
        <v>150.4</v>
      </c>
      <c r="D44" s="1">
        <v>-9.7800000000000005E-3</v>
      </c>
      <c r="E44" s="1" t="str">
        <f t="shared" si="0"/>
        <v>SPFIX</v>
      </c>
    </row>
    <row r="45" spans="1:5" ht="14.25" customHeight="1" x14ac:dyDescent="0.25">
      <c r="A45" s="3">
        <v>37134</v>
      </c>
      <c r="B45" s="1">
        <v>6981</v>
      </c>
      <c r="C45" s="1">
        <v>141.4</v>
      </c>
      <c r="D45" s="1">
        <v>-6.2140000000000001E-2</v>
      </c>
      <c r="E45" s="1" t="str">
        <f t="shared" si="0"/>
        <v>SPFIX</v>
      </c>
    </row>
    <row r="46" spans="1:5" ht="14.25" customHeight="1" x14ac:dyDescent="0.25">
      <c r="A46" s="3">
        <v>37162</v>
      </c>
      <c r="B46" s="1">
        <v>6981</v>
      </c>
      <c r="C46" s="1">
        <v>129.19999999999999</v>
      </c>
      <c r="D46" s="1">
        <v>-7.986E-2</v>
      </c>
      <c r="E46" s="1" t="str">
        <f t="shared" si="0"/>
        <v>SPFIX</v>
      </c>
    </row>
    <row r="47" spans="1:5" ht="14.25" customHeight="1" x14ac:dyDescent="0.25">
      <c r="A47" s="3">
        <v>37195</v>
      </c>
      <c r="B47" s="1">
        <v>6981</v>
      </c>
      <c r="C47" s="1">
        <v>133.30000000000001</v>
      </c>
      <c r="D47" s="1">
        <v>1.772E-2</v>
      </c>
      <c r="E47" s="1" t="str">
        <f t="shared" si="0"/>
        <v>SPFIX</v>
      </c>
    </row>
    <row r="48" spans="1:5" ht="14.25" customHeight="1" x14ac:dyDescent="0.25">
      <c r="A48" s="3">
        <v>37225</v>
      </c>
      <c r="B48" s="1">
        <v>6981</v>
      </c>
      <c r="C48" s="1">
        <v>144.1</v>
      </c>
      <c r="D48" s="1">
        <v>7.5294E-2</v>
      </c>
      <c r="E48" s="1" t="str">
        <f t="shared" si="0"/>
        <v>SPFIX</v>
      </c>
    </row>
    <row r="49" spans="1:5" ht="14.25" customHeight="1" x14ac:dyDescent="0.25">
      <c r="A49" s="3">
        <v>37256</v>
      </c>
      <c r="B49" s="1">
        <v>6981</v>
      </c>
      <c r="C49" s="1">
        <v>146.5</v>
      </c>
      <c r="D49" s="1">
        <v>7.9740000000000002E-3</v>
      </c>
      <c r="E49" s="1" t="str">
        <f t="shared" si="0"/>
        <v>SPFIX</v>
      </c>
    </row>
    <row r="50" spans="1:5" ht="14.25" customHeight="1" x14ac:dyDescent="0.25">
      <c r="A50" s="3">
        <v>37287</v>
      </c>
      <c r="B50" s="1">
        <v>6981</v>
      </c>
      <c r="C50" s="1">
        <v>146.19999999999999</v>
      </c>
      <c r="D50" s="1">
        <v>-1.4373E-2</v>
      </c>
      <c r="E50" s="1" t="str">
        <f t="shared" si="0"/>
        <v>SPFIX</v>
      </c>
    </row>
    <row r="51" spans="1:5" ht="14.25" customHeight="1" x14ac:dyDescent="0.25">
      <c r="A51" s="3">
        <v>37315</v>
      </c>
      <c r="B51" s="1">
        <v>6981</v>
      </c>
      <c r="C51" s="1">
        <v>144.80000000000001</v>
      </c>
      <c r="D51" s="1">
        <v>-1.8117999999999999E-2</v>
      </c>
      <c r="E51" s="1" t="str">
        <f t="shared" si="0"/>
        <v>SPFIX</v>
      </c>
    </row>
    <row r="52" spans="1:5" ht="14.25" customHeight="1" x14ac:dyDescent="0.25">
      <c r="A52" s="3">
        <v>37343</v>
      </c>
      <c r="B52" s="1">
        <v>6981</v>
      </c>
      <c r="C52" s="1">
        <v>153</v>
      </c>
      <c r="D52" s="1">
        <v>3.6237999999999999E-2</v>
      </c>
      <c r="E52" s="1" t="str">
        <f t="shared" si="0"/>
        <v>SPFIX</v>
      </c>
    </row>
    <row r="53" spans="1:5" ht="14.25" customHeight="1" x14ac:dyDescent="0.25">
      <c r="A53" s="3">
        <v>37376</v>
      </c>
      <c r="B53" s="1">
        <v>6981</v>
      </c>
      <c r="C53" s="1">
        <v>142</v>
      </c>
      <c r="D53" s="1">
        <v>-6.0104999999999999E-2</v>
      </c>
      <c r="E53" s="1" t="str">
        <f t="shared" si="0"/>
        <v>SPFIX</v>
      </c>
    </row>
    <row r="54" spans="1:5" ht="14.25" customHeight="1" x14ac:dyDescent="0.25">
      <c r="A54" s="3">
        <v>37407</v>
      </c>
      <c r="B54" s="1">
        <v>6981</v>
      </c>
      <c r="C54" s="1">
        <v>138.30000000000001</v>
      </c>
      <c r="D54" s="1">
        <v>-7.4139999999999996E-3</v>
      </c>
      <c r="E54" s="1" t="str">
        <f t="shared" si="0"/>
        <v>SPFIX</v>
      </c>
    </row>
    <row r="55" spans="1:5" ht="14.25" customHeight="1" x14ac:dyDescent="0.25">
      <c r="A55" s="3">
        <v>37435</v>
      </c>
      <c r="B55" s="1">
        <v>6981</v>
      </c>
      <c r="C55" s="1">
        <v>128.1</v>
      </c>
      <c r="D55" s="1">
        <v>-7.0971000000000006E-2</v>
      </c>
      <c r="E55" s="1" t="str">
        <f t="shared" si="0"/>
        <v>SPFIX</v>
      </c>
    </row>
    <row r="56" spans="1:5" ht="14.25" customHeight="1" x14ac:dyDescent="0.25">
      <c r="A56" s="3">
        <v>37468</v>
      </c>
      <c r="B56" s="1">
        <v>6981</v>
      </c>
      <c r="C56" s="1">
        <v>117.8</v>
      </c>
      <c r="D56" s="1">
        <v>-7.4093000000000006E-2</v>
      </c>
      <c r="E56" s="1" t="str">
        <f t="shared" si="0"/>
        <v>SPFIX</v>
      </c>
    </row>
    <row r="57" spans="1:5" ht="14.25" customHeight="1" x14ac:dyDescent="0.25">
      <c r="A57" s="3">
        <v>37498</v>
      </c>
      <c r="B57" s="1">
        <v>6981</v>
      </c>
      <c r="C57" s="1">
        <v>93.9</v>
      </c>
      <c r="D57" s="1">
        <v>5.9880000000000003E-3</v>
      </c>
      <c r="E57" s="1" t="str">
        <f t="shared" si="0"/>
        <v>SPFIX</v>
      </c>
    </row>
    <row r="58" spans="1:5" ht="14.25" customHeight="1" x14ac:dyDescent="0.25">
      <c r="A58" s="3">
        <v>37529</v>
      </c>
      <c r="B58" s="1">
        <v>6981</v>
      </c>
      <c r="C58" s="1">
        <v>82.9</v>
      </c>
      <c r="D58" s="1">
        <v>-0.10983800000000001</v>
      </c>
      <c r="E58" s="1" t="str">
        <f t="shared" si="0"/>
        <v>SPFIX</v>
      </c>
    </row>
    <row r="59" spans="1:5" ht="14.25" customHeight="1" x14ac:dyDescent="0.25">
      <c r="A59" s="3">
        <v>37560</v>
      </c>
      <c r="B59" s="1">
        <v>6981</v>
      </c>
      <c r="C59" s="1">
        <v>89.1</v>
      </c>
      <c r="D59" s="1">
        <v>8.8577000000000003E-2</v>
      </c>
      <c r="E59" s="1" t="str">
        <f t="shared" si="0"/>
        <v>SPFIX</v>
      </c>
    </row>
    <row r="60" spans="1:5" ht="14.25" customHeight="1" x14ac:dyDescent="0.25">
      <c r="A60" s="3">
        <v>37589</v>
      </c>
      <c r="B60" s="1">
        <v>6981</v>
      </c>
      <c r="C60" s="1">
        <v>94.4</v>
      </c>
      <c r="D60" s="1">
        <v>6.0606E-2</v>
      </c>
      <c r="E60" s="1" t="str">
        <f t="shared" si="0"/>
        <v>SPFIX</v>
      </c>
    </row>
    <row r="61" spans="1:5" ht="14.25" customHeight="1" x14ac:dyDescent="0.25">
      <c r="A61" s="3">
        <v>37621</v>
      </c>
      <c r="B61" s="1">
        <v>6981</v>
      </c>
      <c r="C61" s="1">
        <v>84.1</v>
      </c>
      <c r="D61" s="1">
        <v>-5.9392E-2</v>
      </c>
      <c r="E61" s="1" t="str">
        <f t="shared" si="0"/>
        <v>SPFIX</v>
      </c>
    </row>
    <row r="62" spans="1:5" ht="14.25" customHeight="1" x14ac:dyDescent="0.25">
      <c r="A62" s="3">
        <v>37652</v>
      </c>
      <c r="B62" s="1">
        <v>6981</v>
      </c>
      <c r="C62" s="1">
        <v>82</v>
      </c>
      <c r="D62" s="1">
        <v>-2.7119000000000001E-2</v>
      </c>
      <c r="E62" s="1" t="str">
        <f t="shared" si="0"/>
        <v>SPFIX</v>
      </c>
    </row>
    <row r="63" spans="1:5" ht="14.25" customHeight="1" x14ac:dyDescent="0.25">
      <c r="A63" s="3">
        <v>37680</v>
      </c>
      <c r="B63" s="1">
        <v>6981</v>
      </c>
      <c r="C63" s="1">
        <v>80.2</v>
      </c>
      <c r="D63" s="1">
        <v>-1.5099E-2</v>
      </c>
      <c r="E63" s="1" t="str">
        <f t="shared" si="0"/>
        <v>SPFIX</v>
      </c>
    </row>
    <row r="64" spans="1:5" ht="14.25" customHeight="1" x14ac:dyDescent="0.25">
      <c r="A64" s="3">
        <v>37711</v>
      </c>
      <c r="B64" s="1">
        <v>6981</v>
      </c>
      <c r="C64" s="1">
        <v>82.8</v>
      </c>
      <c r="D64" s="1">
        <v>9.2630000000000004E-3</v>
      </c>
      <c r="E64" s="1" t="str">
        <f t="shared" si="0"/>
        <v>SPFIX</v>
      </c>
    </row>
    <row r="65" spans="1:5" ht="14.25" customHeight="1" x14ac:dyDescent="0.25">
      <c r="A65" s="3">
        <v>37741</v>
      </c>
      <c r="B65" s="1">
        <v>6981</v>
      </c>
      <c r="C65" s="1">
        <v>90.6</v>
      </c>
      <c r="D65" s="1">
        <v>8.2111000000000003E-2</v>
      </c>
      <c r="E65" s="1" t="str">
        <f t="shared" si="0"/>
        <v>SPFIX</v>
      </c>
    </row>
    <row r="66" spans="1:5" ht="14.25" customHeight="1" x14ac:dyDescent="0.25">
      <c r="A66" s="3">
        <v>37771</v>
      </c>
      <c r="B66" s="1">
        <v>6981</v>
      </c>
      <c r="C66" s="1">
        <v>93.1</v>
      </c>
      <c r="D66" s="1">
        <v>5.3658999999999998E-2</v>
      </c>
      <c r="E66" s="1" t="str">
        <f t="shared" si="0"/>
        <v>SPFIX</v>
      </c>
    </row>
    <row r="67" spans="1:5" ht="14.25" customHeight="1" x14ac:dyDescent="0.25">
      <c r="A67" s="3">
        <v>37802</v>
      </c>
      <c r="B67" s="1">
        <v>6981</v>
      </c>
      <c r="C67" s="1">
        <v>93.5</v>
      </c>
      <c r="D67" s="1">
        <v>1.2895999999999999E-2</v>
      </c>
      <c r="E67" s="1" t="str">
        <f t="shared" si="0"/>
        <v>SPFIX</v>
      </c>
    </row>
    <row r="68" spans="1:5" ht="14.25" customHeight="1" x14ac:dyDescent="0.25">
      <c r="A68" s="3">
        <v>37833</v>
      </c>
      <c r="B68" s="1">
        <v>6981</v>
      </c>
      <c r="C68" s="1">
        <v>95.8</v>
      </c>
      <c r="D68" s="1">
        <v>1.7329000000000001E-2</v>
      </c>
      <c r="E68" s="1" t="str">
        <f t="shared" si="0"/>
        <v>SPFIX</v>
      </c>
    </row>
    <row r="69" spans="1:5" ht="14.25" customHeight="1" x14ac:dyDescent="0.25">
      <c r="A69" s="3">
        <v>37862</v>
      </c>
      <c r="B69" s="1">
        <v>6981</v>
      </c>
      <c r="C69" s="1">
        <v>98.2</v>
      </c>
      <c r="D69" s="1">
        <v>2.0039999999999999E-2</v>
      </c>
      <c r="E69" s="1" t="str">
        <f t="shared" si="0"/>
        <v>SPFIX</v>
      </c>
    </row>
    <row r="70" spans="1:5" ht="14.25" customHeight="1" x14ac:dyDescent="0.25">
      <c r="A70" s="3">
        <v>37894</v>
      </c>
      <c r="B70" s="1">
        <v>6981</v>
      </c>
      <c r="C70" s="1">
        <v>96.8</v>
      </c>
      <c r="D70" s="1">
        <v>-1.1261999999999999E-2</v>
      </c>
      <c r="E70" s="1" t="str">
        <f t="shared" si="0"/>
        <v>SPFIX</v>
      </c>
    </row>
    <row r="71" spans="1:5" ht="14.25" customHeight="1" x14ac:dyDescent="0.25">
      <c r="A71" s="3">
        <v>37925</v>
      </c>
      <c r="B71" s="1">
        <v>6981</v>
      </c>
      <c r="C71" s="1">
        <v>102.9</v>
      </c>
      <c r="D71" s="1">
        <v>5.6829999999999999E-2</v>
      </c>
      <c r="E71" s="1" t="str">
        <f t="shared" si="0"/>
        <v>SPFIX</v>
      </c>
    </row>
    <row r="72" spans="1:5" ht="14.25" customHeight="1" x14ac:dyDescent="0.25">
      <c r="A72" s="3">
        <v>37953</v>
      </c>
      <c r="B72" s="1">
        <v>6981</v>
      </c>
      <c r="C72" s="1">
        <v>104</v>
      </c>
      <c r="D72" s="1">
        <v>8.9619999999999995E-3</v>
      </c>
      <c r="E72" s="1" t="str">
        <f t="shared" si="0"/>
        <v>SPFIX</v>
      </c>
    </row>
    <row r="73" spans="1:5" ht="14.25" customHeight="1" x14ac:dyDescent="0.25">
      <c r="A73" s="3">
        <v>37986</v>
      </c>
      <c r="B73" s="1">
        <v>6981</v>
      </c>
      <c r="C73" s="1">
        <v>109</v>
      </c>
      <c r="D73" s="1">
        <v>5.1594000000000001E-2</v>
      </c>
      <c r="E73" s="1" t="str">
        <f t="shared" si="0"/>
        <v>SPFIX</v>
      </c>
    </row>
    <row r="74" spans="1:5" ht="14.25" customHeight="1" x14ac:dyDescent="0.25">
      <c r="A74" s="3">
        <v>38016</v>
      </c>
      <c r="B74" s="1">
        <v>6981</v>
      </c>
      <c r="C74" s="1">
        <v>112.2</v>
      </c>
      <c r="D74" s="1">
        <v>1.7849E-2</v>
      </c>
      <c r="E74" s="1" t="str">
        <f t="shared" si="0"/>
        <v>SPFIX</v>
      </c>
    </row>
    <row r="75" spans="1:5" ht="14.25" customHeight="1" x14ac:dyDescent="0.25">
      <c r="A75" s="3">
        <v>38044</v>
      </c>
      <c r="B75" s="1">
        <v>6981</v>
      </c>
      <c r="C75" s="1">
        <v>112.9</v>
      </c>
      <c r="D75" s="1">
        <v>1.3591000000000001E-2</v>
      </c>
      <c r="E75" s="1" t="str">
        <f t="shared" si="0"/>
        <v>SPFIX</v>
      </c>
    </row>
    <row r="76" spans="1:5" ht="14.25" customHeight="1" x14ac:dyDescent="0.25">
      <c r="A76" s="3">
        <v>38077</v>
      </c>
      <c r="B76" s="1">
        <v>6981</v>
      </c>
      <c r="C76" s="1">
        <v>109.9</v>
      </c>
      <c r="D76" s="1">
        <v>-1.4964999999999999E-2</v>
      </c>
      <c r="E76" s="1" t="str">
        <f t="shared" si="0"/>
        <v>SPFIX</v>
      </c>
    </row>
    <row r="77" spans="1:5" ht="14.25" customHeight="1" x14ac:dyDescent="0.25">
      <c r="A77" s="3">
        <v>38107</v>
      </c>
      <c r="B77" s="1">
        <v>6981</v>
      </c>
      <c r="C77" s="1">
        <v>109.4</v>
      </c>
      <c r="D77" s="1">
        <v>-1.5859000000000002E-2</v>
      </c>
      <c r="E77" s="1" t="str">
        <f t="shared" si="0"/>
        <v>SPFIX</v>
      </c>
    </row>
    <row r="78" spans="1:5" ht="14.25" customHeight="1" x14ac:dyDescent="0.25">
      <c r="A78" s="3">
        <v>38135</v>
      </c>
      <c r="B78" s="1">
        <v>6981</v>
      </c>
      <c r="C78" s="1">
        <v>111.8</v>
      </c>
      <c r="D78" s="1">
        <v>1.3429E-2</v>
      </c>
      <c r="E78" s="1" t="str">
        <f t="shared" si="0"/>
        <v>SPFIX</v>
      </c>
    </row>
    <row r="79" spans="1:5" ht="14.25" customHeight="1" x14ac:dyDescent="0.25">
      <c r="A79" s="3">
        <v>38168</v>
      </c>
      <c r="B79" s="1">
        <v>6981</v>
      </c>
      <c r="C79" s="1">
        <v>113.3</v>
      </c>
      <c r="D79" s="1">
        <v>1.9342000000000002E-2</v>
      </c>
      <c r="E79" s="1" t="str">
        <f t="shared" si="0"/>
        <v>SPFIX</v>
      </c>
    </row>
    <row r="80" spans="1:5" ht="14.25" customHeight="1" x14ac:dyDescent="0.25">
      <c r="A80" s="3">
        <v>38198</v>
      </c>
      <c r="B80" s="1">
        <v>6981</v>
      </c>
      <c r="C80" s="1">
        <v>106.4</v>
      </c>
      <c r="D80" s="1">
        <v>-3.3478000000000001E-2</v>
      </c>
      <c r="E80" s="1" t="str">
        <f t="shared" si="0"/>
        <v>SPFIX</v>
      </c>
    </row>
    <row r="81" spans="1:5" ht="14.25" customHeight="1" x14ac:dyDescent="0.25">
      <c r="A81" s="3">
        <v>38230</v>
      </c>
      <c r="B81" s="1">
        <v>6981</v>
      </c>
      <c r="C81" s="1">
        <v>106.3</v>
      </c>
      <c r="D81" s="1">
        <v>4.0489999999999996E-3</v>
      </c>
      <c r="E81" s="1" t="str">
        <f t="shared" si="0"/>
        <v>SPFIX</v>
      </c>
    </row>
    <row r="82" spans="1:5" ht="14.25" customHeight="1" x14ac:dyDescent="0.25">
      <c r="A82" s="3">
        <v>38260</v>
      </c>
      <c r="B82" s="1">
        <v>6981</v>
      </c>
      <c r="C82" s="1">
        <v>106.1</v>
      </c>
      <c r="D82" s="1">
        <v>1.0193000000000001E-2</v>
      </c>
      <c r="E82" s="1" t="str">
        <f t="shared" si="0"/>
        <v>SPFIX</v>
      </c>
    </row>
    <row r="83" spans="1:5" ht="14.25" customHeight="1" x14ac:dyDescent="0.25">
      <c r="A83" s="3">
        <v>38289</v>
      </c>
      <c r="B83" s="1">
        <v>6981</v>
      </c>
      <c r="C83" s="1">
        <v>106.4</v>
      </c>
      <c r="D83" s="1">
        <v>1.5583E-2</v>
      </c>
      <c r="E83" s="1" t="str">
        <f t="shared" si="0"/>
        <v>SPFIX</v>
      </c>
    </row>
    <row r="84" spans="1:5" ht="14.25" customHeight="1" x14ac:dyDescent="0.25">
      <c r="A84" s="3">
        <v>38321</v>
      </c>
      <c r="B84" s="1">
        <v>6981</v>
      </c>
      <c r="C84" s="1">
        <v>108.4</v>
      </c>
      <c r="D84" s="1">
        <v>4.0333000000000001E-2</v>
      </c>
      <c r="E84" s="1" t="str">
        <f t="shared" si="0"/>
        <v>SPFIX</v>
      </c>
    </row>
    <row r="85" spans="1:5" ht="14.25" customHeight="1" x14ac:dyDescent="0.25">
      <c r="A85" s="3">
        <v>38352</v>
      </c>
      <c r="B85" s="1">
        <v>6981</v>
      </c>
      <c r="C85" s="1">
        <v>110.6</v>
      </c>
      <c r="D85" s="1">
        <v>3.3923000000000002E-2</v>
      </c>
      <c r="E85" s="1" t="str">
        <f t="shared" si="0"/>
        <v>SPFIX</v>
      </c>
    </row>
    <row r="86" spans="1:5" ht="14.25" customHeight="1" x14ac:dyDescent="0.25">
      <c r="A86" s="3">
        <v>38383</v>
      </c>
      <c r="B86" s="1">
        <v>6981</v>
      </c>
      <c r="C86" s="1">
        <v>108.2</v>
      </c>
      <c r="D86" s="1">
        <v>-2.4209999999999999E-2</v>
      </c>
      <c r="E86" s="1" t="str">
        <f t="shared" si="0"/>
        <v>SPFIX</v>
      </c>
    </row>
    <row r="87" spans="1:5" ht="14.25" customHeight="1" x14ac:dyDescent="0.25">
      <c r="A87" s="3">
        <v>38411</v>
      </c>
      <c r="B87" s="1">
        <v>6981</v>
      </c>
      <c r="C87" s="1">
        <v>109.9</v>
      </c>
      <c r="D87" s="1">
        <v>2.1026E-2</v>
      </c>
      <c r="E87" s="1" t="str">
        <f t="shared" si="0"/>
        <v>SPFIX</v>
      </c>
    </row>
    <row r="88" spans="1:5" ht="14.25" customHeight="1" x14ac:dyDescent="0.25">
      <c r="A88" s="3">
        <v>38442</v>
      </c>
      <c r="B88" s="1">
        <v>6981</v>
      </c>
      <c r="C88" s="1">
        <v>106.9</v>
      </c>
      <c r="D88" s="1">
        <v>-1.771E-2</v>
      </c>
      <c r="E88" s="1" t="str">
        <f t="shared" si="0"/>
        <v>SPFIX</v>
      </c>
    </row>
    <row r="89" spans="1:5" ht="14.25" customHeight="1" x14ac:dyDescent="0.25">
      <c r="A89" s="3">
        <v>38471</v>
      </c>
      <c r="B89" s="1">
        <v>6981</v>
      </c>
      <c r="C89" s="1">
        <v>104.7</v>
      </c>
      <c r="D89" s="1">
        <v>-1.9368E-2</v>
      </c>
      <c r="E89" s="1" t="str">
        <f t="shared" si="0"/>
        <v>SPFIX</v>
      </c>
    </row>
    <row r="90" spans="1:5" ht="14.25" customHeight="1" x14ac:dyDescent="0.25">
      <c r="A90" s="3">
        <v>38503</v>
      </c>
      <c r="B90" s="1">
        <v>6981</v>
      </c>
      <c r="C90" s="1">
        <v>107.6</v>
      </c>
      <c r="D90" s="1">
        <v>3.1343999999999997E-2</v>
      </c>
      <c r="E90" s="1" t="str">
        <f t="shared" si="0"/>
        <v>SPFIX</v>
      </c>
    </row>
    <row r="91" spans="1:5" ht="14.25" customHeight="1" x14ac:dyDescent="0.25">
      <c r="A91" s="3">
        <v>38533</v>
      </c>
      <c r="B91" s="1">
        <v>6981</v>
      </c>
      <c r="C91" s="1">
        <v>101.9</v>
      </c>
      <c r="D91" s="1">
        <v>1.5399999999999999E-3</v>
      </c>
      <c r="E91" s="1" t="str">
        <f t="shared" si="0"/>
        <v>SPFIX</v>
      </c>
    </row>
    <row r="92" spans="1:5" ht="14.25" customHeight="1" x14ac:dyDescent="0.25">
      <c r="A92" s="3">
        <v>38562</v>
      </c>
      <c r="B92" s="1">
        <v>6981</v>
      </c>
      <c r="C92" s="1">
        <v>105.2</v>
      </c>
      <c r="D92" s="1">
        <v>3.6713000000000003E-2</v>
      </c>
      <c r="E92" s="1" t="str">
        <f t="shared" si="0"/>
        <v>SPFIX</v>
      </c>
    </row>
    <row r="93" spans="1:5" ht="14.25" customHeight="1" x14ac:dyDescent="0.25">
      <c r="A93" s="3">
        <v>38595</v>
      </c>
      <c r="B93" s="1">
        <v>6981</v>
      </c>
      <c r="C93" s="1">
        <v>102.9</v>
      </c>
      <c r="D93" s="1">
        <v>-9.6579999999999999E-3</v>
      </c>
      <c r="E93" s="1" t="str">
        <f t="shared" si="0"/>
        <v>SPFIX</v>
      </c>
    </row>
    <row r="94" spans="1:5" ht="14.25" customHeight="1" x14ac:dyDescent="0.25">
      <c r="A94" s="3">
        <v>38625</v>
      </c>
      <c r="B94" s="1">
        <v>6981</v>
      </c>
      <c r="C94" s="1">
        <v>103.2</v>
      </c>
      <c r="D94" s="1">
        <v>7.8989999999999998E-3</v>
      </c>
      <c r="E94" s="1" t="str">
        <f t="shared" si="0"/>
        <v>SPFIX</v>
      </c>
    </row>
    <row r="95" spans="1:5" ht="14.25" customHeight="1" x14ac:dyDescent="0.25">
      <c r="A95" s="3">
        <v>38656</v>
      </c>
      <c r="B95" s="1">
        <v>6981</v>
      </c>
      <c r="C95" s="1">
        <v>101.3</v>
      </c>
      <c r="D95" s="1">
        <v>-1.6586E-2</v>
      </c>
      <c r="E95" s="1" t="str">
        <f t="shared" si="0"/>
        <v>SPFIX</v>
      </c>
    </row>
    <row r="96" spans="1:5" ht="14.25" customHeight="1" x14ac:dyDescent="0.25">
      <c r="A96" s="3">
        <v>38686</v>
      </c>
      <c r="B96" s="1">
        <v>6981</v>
      </c>
      <c r="C96" s="1">
        <v>104.5</v>
      </c>
      <c r="D96" s="1">
        <v>3.7433000000000001E-2</v>
      </c>
      <c r="E96" s="1" t="str">
        <f t="shared" si="0"/>
        <v>SPFIX</v>
      </c>
    </row>
    <row r="97" spans="1:5" ht="14.25" customHeight="1" x14ac:dyDescent="0.25">
      <c r="A97" s="3">
        <v>38716</v>
      </c>
      <c r="B97" s="1">
        <v>6981</v>
      </c>
      <c r="C97" s="1">
        <v>103.2</v>
      </c>
      <c r="D97" s="1">
        <v>3.1700000000000001E-4</v>
      </c>
      <c r="E97" s="1" t="str">
        <f t="shared" si="0"/>
        <v>SPFIX</v>
      </c>
    </row>
    <row r="98" spans="1:5" ht="14.25" customHeight="1" x14ac:dyDescent="0.25">
      <c r="A98" s="3">
        <v>38748</v>
      </c>
      <c r="B98" s="1">
        <v>6981</v>
      </c>
      <c r="C98" s="1">
        <v>105.9</v>
      </c>
      <c r="D98" s="1">
        <v>2.6273999999999999E-2</v>
      </c>
      <c r="E98" s="1" t="str">
        <f t="shared" si="0"/>
        <v>SPFIX</v>
      </c>
    </row>
    <row r="99" spans="1:5" ht="14.25" customHeight="1" x14ac:dyDescent="0.25">
      <c r="A99" s="3">
        <v>38776</v>
      </c>
      <c r="B99" s="1">
        <v>6981</v>
      </c>
      <c r="C99" s="1">
        <v>105.8</v>
      </c>
      <c r="D99" s="1">
        <v>2.3270000000000001E-3</v>
      </c>
      <c r="E99" s="1" t="str">
        <f t="shared" si="0"/>
        <v>SPFIX</v>
      </c>
    </row>
    <row r="100" spans="1:5" ht="14.25" customHeight="1" x14ac:dyDescent="0.25">
      <c r="A100" s="3">
        <v>38807</v>
      </c>
      <c r="B100" s="1">
        <v>6981</v>
      </c>
      <c r="C100" s="1">
        <v>105.7</v>
      </c>
      <c r="D100" s="1">
        <v>1.2371999999999999E-2</v>
      </c>
      <c r="E100" s="1" t="str">
        <f t="shared" si="0"/>
        <v>SPFIX</v>
      </c>
    </row>
    <row r="101" spans="1:5" ht="14.25" customHeight="1" x14ac:dyDescent="0.25">
      <c r="A101" s="3">
        <v>38835</v>
      </c>
      <c r="B101" s="1">
        <v>6981</v>
      </c>
      <c r="C101" s="1">
        <v>106.7</v>
      </c>
      <c r="D101" s="1">
        <v>1.3047E-2</v>
      </c>
      <c r="E101" s="1" t="str">
        <f t="shared" si="0"/>
        <v>SPFIX</v>
      </c>
    </row>
    <row r="102" spans="1:5" ht="14.25" customHeight="1" x14ac:dyDescent="0.25">
      <c r="A102" s="3">
        <v>38868</v>
      </c>
      <c r="B102" s="1">
        <v>6981</v>
      </c>
      <c r="C102" s="1">
        <v>102.9</v>
      </c>
      <c r="D102" s="1">
        <v>-2.9166999999999998E-2</v>
      </c>
      <c r="E102" s="1" t="str">
        <f t="shared" si="0"/>
        <v>SPFIX</v>
      </c>
    </row>
    <row r="103" spans="1:5" ht="14.25" customHeight="1" x14ac:dyDescent="0.25">
      <c r="A103" s="3">
        <v>38898</v>
      </c>
      <c r="B103" s="1">
        <v>6981</v>
      </c>
      <c r="C103" s="1">
        <v>99.3</v>
      </c>
      <c r="D103" s="1">
        <v>1.1310000000000001E-3</v>
      </c>
      <c r="E103" s="1" t="str">
        <f t="shared" si="0"/>
        <v>SPFIX</v>
      </c>
    </row>
    <row r="104" spans="1:5" ht="14.25" customHeight="1" x14ac:dyDescent="0.25">
      <c r="A104" s="3">
        <v>38929</v>
      </c>
      <c r="B104" s="1">
        <v>6981</v>
      </c>
      <c r="C104" s="1">
        <v>99.7</v>
      </c>
      <c r="D104" s="1">
        <v>5.8710000000000004E-3</v>
      </c>
      <c r="E104" s="1" t="str">
        <f t="shared" si="0"/>
        <v>SPFIX</v>
      </c>
    </row>
    <row r="105" spans="1:5" ht="14.25" customHeight="1" x14ac:dyDescent="0.25">
      <c r="A105" s="3">
        <v>38960</v>
      </c>
      <c r="B105" s="1">
        <v>6981</v>
      </c>
      <c r="C105" s="1">
        <v>100.9</v>
      </c>
      <c r="D105" s="1">
        <v>2.3734999999999999E-2</v>
      </c>
      <c r="E105" s="1" t="str">
        <f t="shared" si="0"/>
        <v>SPFIX</v>
      </c>
    </row>
    <row r="106" spans="1:5" ht="14.25" customHeight="1" x14ac:dyDescent="0.25">
      <c r="A106" s="3">
        <v>38989</v>
      </c>
      <c r="B106" s="1">
        <v>6981</v>
      </c>
      <c r="C106" s="1">
        <v>102.8</v>
      </c>
      <c r="D106" s="1">
        <v>2.5485000000000001E-2</v>
      </c>
      <c r="E106" s="1" t="str">
        <f t="shared" si="0"/>
        <v>SPFIX</v>
      </c>
    </row>
    <row r="107" spans="1:5" ht="14.25" customHeight="1" x14ac:dyDescent="0.25">
      <c r="A107" s="3">
        <v>39021</v>
      </c>
      <c r="B107" s="1">
        <v>6981</v>
      </c>
      <c r="C107" s="1">
        <v>105.7</v>
      </c>
      <c r="D107" s="1">
        <v>3.1621999999999997E-2</v>
      </c>
      <c r="E107" s="1" t="str">
        <f t="shared" si="0"/>
        <v>SPFIX</v>
      </c>
    </row>
    <row r="108" spans="1:5" ht="14.25" customHeight="1" x14ac:dyDescent="0.25">
      <c r="A108" s="3">
        <v>39051</v>
      </c>
      <c r="B108" s="1">
        <v>6981</v>
      </c>
      <c r="C108" s="1">
        <v>107.2</v>
      </c>
      <c r="D108" s="1">
        <v>1.8752000000000001E-2</v>
      </c>
      <c r="E108" s="1" t="str">
        <f t="shared" si="0"/>
        <v>SPFIX</v>
      </c>
    </row>
    <row r="109" spans="1:5" ht="14.25" customHeight="1" x14ac:dyDescent="0.25">
      <c r="A109" s="3">
        <v>39080</v>
      </c>
      <c r="B109" s="1">
        <v>6981</v>
      </c>
      <c r="C109" s="1">
        <v>107.3</v>
      </c>
      <c r="D109" s="1">
        <v>1.3650000000000001E-2</v>
      </c>
      <c r="E109" s="1" t="str">
        <f t="shared" si="0"/>
        <v>SPFIX</v>
      </c>
    </row>
    <row r="110" spans="1:5" ht="14.25" customHeight="1" x14ac:dyDescent="0.25">
      <c r="A110" s="3">
        <v>39113</v>
      </c>
      <c r="B110" s="1">
        <v>6981</v>
      </c>
      <c r="C110" s="1">
        <v>109</v>
      </c>
      <c r="D110" s="1">
        <v>1.5082E-2</v>
      </c>
      <c r="E110" s="1" t="str">
        <f t="shared" si="0"/>
        <v>SPFIX</v>
      </c>
    </row>
    <row r="111" spans="1:5" ht="14.25" customHeight="1" x14ac:dyDescent="0.25">
      <c r="A111" s="3">
        <v>39141</v>
      </c>
      <c r="B111" s="1">
        <v>6981</v>
      </c>
      <c r="C111" s="1">
        <v>105.7</v>
      </c>
      <c r="D111" s="1">
        <v>-1.9696000000000002E-2</v>
      </c>
      <c r="E111" s="1" t="str">
        <f t="shared" si="0"/>
        <v>SPFIX</v>
      </c>
    </row>
    <row r="112" spans="1:5" ht="14.25" customHeight="1" x14ac:dyDescent="0.25">
      <c r="A112" s="3">
        <v>39171</v>
      </c>
      <c r="B112" s="1">
        <v>6981</v>
      </c>
      <c r="C112" s="1">
        <v>105.5</v>
      </c>
      <c r="D112" s="1">
        <v>1.0761E-2</v>
      </c>
      <c r="E112" s="1" t="str">
        <f t="shared" si="0"/>
        <v>SPFIX</v>
      </c>
    </row>
    <row r="113" spans="1:5" ht="14.25" customHeight="1" x14ac:dyDescent="0.25">
      <c r="A113" s="3">
        <v>39202</v>
      </c>
      <c r="B113" s="1">
        <v>6981</v>
      </c>
      <c r="C113" s="1">
        <v>110.2</v>
      </c>
      <c r="D113" s="1">
        <v>4.4132999999999999E-2</v>
      </c>
      <c r="E113" s="1" t="str">
        <f t="shared" si="0"/>
        <v>SPFIX</v>
      </c>
    </row>
    <row r="114" spans="1:5" ht="14.25" customHeight="1" x14ac:dyDescent="0.25">
      <c r="A114" s="3">
        <v>39233</v>
      </c>
      <c r="B114" s="1">
        <v>6981</v>
      </c>
      <c r="C114" s="1">
        <v>112.4</v>
      </c>
      <c r="D114" s="1">
        <v>3.4551999999999999E-2</v>
      </c>
      <c r="E114" s="1" t="str">
        <f t="shared" si="0"/>
        <v>SPFIX</v>
      </c>
    </row>
    <row r="115" spans="1:5" ht="14.25" customHeight="1" x14ac:dyDescent="0.25">
      <c r="A115" s="3">
        <v>39262</v>
      </c>
      <c r="B115" s="1">
        <v>6981</v>
      </c>
      <c r="C115" s="1">
        <v>109.4</v>
      </c>
      <c r="D115" s="1">
        <v>-1.6633999999999999E-2</v>
      </c>
      <c r="E115" s="1" t="str">
        <f t="shared" si="0"/>
        <v>SPFIX</v>
      </c>
    </row>
    <row r="116" spans="1:5" ht="14.25" customHeight="1" x14ac:dyDescent="0.25">
      <c r="A116" s="3">
        <v>39294</v>
      </c>
      <c r="B116" s="1">
        <v>6981</v>
      </c>
      <c r="C116" s="1">
        <v>105.4</v>
      </c>
      <c r="D116" s="1">
        <v>-3.1116000000000001E-2</v>
      </c>
      <c r="E116" s="1" t="str">
        <f t="shared" si="0"/>
        <v>SPFIX</v>
      </c>
    </row>
    <row r="117" spans="1:5" ht="14.25" customHeight="1" x14ac:dyDescent="0.25">
      <c r="A117" s="3">
        <v>39325</v>
      </c>
      <c r="B117" s="1">
        <v>6981</v>
      </c>
      <c r="C117" s="1">
        <v>105.8</v>
      </c>
      <c r="D117" s="1">
        <v>1.4690999999999999E-2</v>
      </c>
      <c r="E117" s="1" t="str">
        <f t="shared" si="0"/>
        <v>SPFIX</v>
      </c>
    </row>
    <row r="118" spans="1:5" ht="14.25" customHeight="1" x14ac:dyDescent="0.25">
      <c r="A118" s="3">
        <v>39353</v>
      </c>
      <c r="B118" s="1">
        <v>6981</v>
      </c>
      <c r="C118" s="1">
        <v>108.6</v>
      </c>
      <c r="D118" s="1">
        <v>3.6990000000000002E-2</v>
      </c>
      <c r="E118" s="1" t="str">
        <f t="shared" si="0"/>
        <v>SPFIX</v>
      </c>
    </row>
    <row r="119" spans="1:5" ht="14.25" customHeight="1" x14ac:dyDescent="0.25">
      <c r="A119" s="3">
        <v>39386</v>
      </c>
      <c r="B119" s="1">
        <v>6981</v>
      </c>
      <c r="C119" s="1">
        <v>109.3</v>
      </c>
      <c r="D119" s="1">
        <v>1.4992999999999999E-2</v>
      </c>
      <c r="E119" s="1" t="str">
        <f t="shared" si="0"/>
        <v>SPFIX</v>
      </c>
    </row>
    <row r="120" spans="1:5" ht="14.25" customHeight="1" x14ac:dyDescent="0.25">
      <c r="A120" s="3">
        <v>39416</v>
      </c>
      <c r="B120" s="1">
        <v>6981</v>
      </c>
      <c r="C120" s="1">
        <v>104.3</v>
      </c>
      <c r="D120" s="1">
        <v>-4.2068000000000001E-2</v>
      </c>
      <c r="E120" s="1" t="str">
        <f t="shared" si="0"/>
        <v>SPFIX</v>
      </c>
    </row>
    <row r="121" spans="1:5" ht="14.25" customHeight="1" x14ac:dyDescent="0.25">
      <c r="A121" s="3">
        <v>39447</v>
      </c>
      <c r="B121" s="1">
        <v>6981</v>
      </c>
      <c r="C121" s="1">
        <v>102.8</v>
      </c>
      <c r="D121" s="1">
        <v>-7.5560000000000002E-3</v>
      </c>
      <c r="E121" s="1" t="str">
        <f t="shared" si="0"/>
        <v>SPFIX</v>
      </c>
    </row>
    <row r="122" spans="1:5" ht="14.25" customHeight="1" x14ac:dyDescent="0.25">
      <c r="A122" s="3">
        <v>39478</v>
      </c>
      <c r="B122" s="1">
        <v>6981</v>
      </c>
      <c r="C122" s="1">
        <v>96.5</v>
      </c>
      <c r="D122" s="1">
        <v>-5.9700999999999997E-2</v>
      </c>
      <c r="E122" s="1" t="str">
        <f t="shared" si="0"/>
        <v>SPFIX</v>
      </c>
    </row>
    <row r="123" spans="1:5" ht="14.25" customHeight="1" x14ac:dyDescent="0.25">
      <c r="A123" s="3">
        <v>39507</v>
      </c>
      <c r="B123" s="1">
        <v>6981</v>
      </c>
      <c r="C123" s="1">
        <v>92.5</v>
      </c>
      <c r="D123" s="1">
        <v>-3.2828000000000003E-2</v>
      </c>
      <c r="E123" s="1" t="str">
        <f t="shared" si="0"/>
        <v>SPFIX</v>
      </c>
    </row>
    <row r="124" spans="1:5" ht="14.25" customHeight="1" x14ac:dyDescent="0.25">
      <c r="A124" s="3">
        <v>39538</v>
      </c>
      <c r="B124" s="1">
        <v>6981</v>
      </c>
      <c r="C124" s="1">
        <v>91.5</v>
      </c>
      <c r="D124" s="1">
        <v>-4.4799999999999996E-3</v>
      </c>
      <c r="E124" s="1" t="str">
        <f t="shared" si="0"/>
        <v>SPFIX</v>
      </c>
    </row>
    <row r="125" spans="1:5" ht="14.25" customHeight="1" x14ac:dyDescent="0.25">
      <c r="A125" s="3">
        <v>39568</v>
      </c>
      <c r="B125" s="1">
        <v>6981</v>
      </c>
      <c r="C125" s="1">
        <v>95.9</v>
      </c>
      <c r="D125" s="1">
        <v>4.8175000000000003E-2</v>
      </c>
      <c r="E125" s="1" t="str">
        <f t="shared" si="0"/>
        <v>SPFIX</v>
      </c>
    </row>
    <row r="126" spans="1:5" ht="14.25" customHeight="1" x14ac:dyDescent="0.25">
      <c r="A126" s="3">
        <v>39598</v>
      </c>
      <c r="B126" s="1">
        <v>6981</v>
      </c>
      <c r="C126" s="1">
        <v>96.8</v>
      </c>
      <c r="D126" s="1">
        <v>1.2926E-2</v>
      </c>
      <c r="E126" s="1" t="str">
        <f t="shared" si="0"/>
        <v>SPFIX</v>
      </c>
    </row>
    <row r="127" spans="1:5" ht="14.25" customHeight="1" x14ac:dyDescent="0.25">
      <c r="A127" s="3">
        <v>39629</v>
      </c>
      <c r="B127" s="1">
        <v>6981</v>
      </c>
      <c r="C127" s="1">
        <v>88</v>
      </c>
      <c r="D127" s="1">
        <v>-8.4389000000000006E-2</v>
      </c>
      <c r="E127" s="1" t="str">
        <f t="shared" si="0"/>
        <v>SPFIX</v>
      </c>
    </row>
    <row r="128" spans="1:5" ht="14.25" customHeight="1" x14ac:dyDescent="0.25">
      <c r="A128" s="3">
        <v>39660</v>
      </c>
      <c r="B128" s="1">
        <v>6981</v>
      </c>
      <c r="C128" s="1">
        <v>87.1</v>
      </c>
      <c r="D128" s="1">
        <v>-7.0010000000000003E-3</v>
      </c>
      <c r="E128" s="1" t="str">
        <f t="shared" si="0"/>
        <v>SPFIX</v>
      </c>
    </row>
    <row r="129" spans="1:5" ht="14.25" customHeight="1" x14ac:dyDescent="0.25">
      <c r="A129" s="3">
        <v>39689</v>
      </c>
      <c r="B129" s="1">
        <v>6981</v>
      </c>
      <c r="C129" s="1">
        <v>87.8</v>
      </c>
      <c r="D129" s="1">
        <v>1.4884E-2</v>
      </c>
      <c r="E129" s="1" t="str">
        <f t="shared" si="0"/>
        <v>SPFIX</v>
      </c>
    </row>
    <row r="130" spans="1:5" ht="14.25" customHeight="1" x14ac:dyDescent="0.25">
      <c r="A130" s="3">
        <v>39721</v>
      </c>
      <c r="B130" s="1">
        <v>6981</v>
      </c>
      <c r="C130" s="1">
        <v>78.599999999999994</v>
      </c>
      <c r="D130" s="1">
        <v>-8.7495000000000003E-2</v>
      </c>
      <c r="E130" s="1" t="str">
        <f t="shared" si="0"/>
        <v>SPFIX</v>
      </c>
    </row>
    <row r="131" spans="1:5" ht="14.25" customHeight="1" x14ac:dyDescent="0.25">
      <c r="A131" s="3">
        <v>39752</v>
      </c>
      <c r="B131" s="1">
        <v>6981</v>
      </c>
      <c r="C131" s="1">
        <v>66.099999999999994</v>
      </c>
      <c r="D131" s="1">
        <v>-0.16666700000000001</v>
      </c>
      <c r="E131" s="1" t="str">
        <f t="shared" si="0"/>
        <v>SPFIX</v>
      </c>
    </row>
    <row r="132" spans="1:5" ht="14.25" customHeight="1" x14ac:dyDescent="0.25">
      <c r="A132" s="3">
        <v>39780</v>
      </c>
      <c r="B132" s="1">
        <v>6981</v>
      </c>
      <c r="C132" s="1">
        <v>62.1</v>
      </c>
      <c r="D132" s="1">
        <v>-7.0407999999999998E-2</v>
      </c>
      <c r="E132" s="1" t="str">
        <f t="shared" si="0"/>
        <v>SPFIX</v>
      </c>
    </row>
    <row r="133" spans="1:5" ht="14.25" customHeight="1" x14ac:dyDescent="0.25">
      <c r="A133" s="3">
        <v>39813</v>
      </c>
      <c r="B133" s="1">
        <v>6981</v>
      </c>
      <c r="C133" s="1">
        <v>62.3</v>
      </c>
      <c r="D133" s="1">
        <v>1.2366E-2</v>
      </c>
      <c r="E133" s="1" t="str">
        <f t="shared" si="0"/>
        <v>SPFIX</v>
      </c>
    </row>
    <row r="134" spans="1:5" ht="14.25" customHeight="1" x14ac:dyDescent="0.25">
      <c r="A134" s="3">
        <v>39843</v>
      </c>
      <c r="B134" s="1">
        <v>6981</v>
      </c>
      <c r="C134" s="1">
        <v>56.6</v>
      </c>
      <c r="D134" s="1">
        <v>-8.2923999999999998E-2</v>
      </c>
      <c r="E134" s="1" t="str">
        <f t="shared" si="0"/>
        <v>SPFIX</v>
      </c>
    </row>
    <row r="135" spans="1:5" ht="14.25" customHeight="1" x14ac:dyDescent="0.25">
      <c r="A135" s="3">
        <v>39871</v>
      </c>
      <c r="B135" s="1">
        <v>6981</v>
      </c>
      <c r="C135" s="1">
        <v>50.1</v>
      </c>
      <c r="D135" s="1">
        <v>-0.105294</v>
      </c>
      <c r="E135" s="1" t="str">
        <f t="shared" si="0"/>
        <v>SPFIX</v>
      </c>
    </row>
    <row r="136" spans="1:5" ht="14.25" customHeight="1" x14ac:dyDescent="0.25">
      <c r="A136" s="3">
        <v>39903</v>
      </c>
      <c r="B136" s="1">
        <v>6981</v>
      </c>
      <c r="C136" s="1">
        <v>54</v>
      </c>
      <c r="D136" s="1">
        <v>8.7346999999999994E-2</v>
      </c>
      <c r="E136" s="1" t="str">
        <f t="shared" si="0"/>
        <v>SPFIX</v>
      </c>
    </row>
    <row r="137" spans="1:5" ht="14.25" customHeight="1" x14ac:dyDescent="0.25">
      <c r="A137" s="3">
        <v>39933</v>
      </c>
      <c r="B137" s="1">
        <v>6981</v>
      </c>
      <c r="C137" s="1">
        <v>59.5</v>
      </c>
      <c r="D137" s="1">
        <v>9.4154000000000002E-2</v>
      </c>
      <c r="E137" s="1" t="str">
        <f t="shared" si="0"/>
        <v>SPFIX</v>
      </c>
    </row>
    <row r="138" spans="1:5" ht="14.25" customHeight="1" x14ac:dyDescent="0.25">
      <c r="A138" s="3">
        <v>39962</v>
      </c>
      <c r="B138" s="1">
        <v>6981</v>
      </c>
      <c r="C138" s="1">
        <v>62.6</v>
      </c>
      <c r="D138" s="1">
        <v>5.5118E-2</v>
      </c>
      <c r="E138" s="1" t="str">
        <f t="shared" si="0"/>
        <v>SPFIX</v>
      </c>
    </row>
    <row r="139" spans="1:5" ht="14.25" customHeight="1" x14ac:dyDescent="0.25">
      <c r="A139" s="3">
        <v>39994</v>
      </c>
      <c r="B139" s="1">
        <v>6981</v>
      </c>
      <c r="C139" s="1">
        <v>62.2</v>
      </c>
      <c r="D139" s="1">
        <v>2.4250000000000001E-3</v>
      </c>
      <c r="E139" s="1" t="str">
        <f t="shared" si="0"/>
        <v>SPFIX</v>
      </c>
    </row>
    <row r="140" spans="1:5" ht="14.25" customHeight="1" x14ac:dyDescent="0.25">
      <c r="A140" s="3">
        <v>40025</v>
      </c>
      <c r="B140" s="1">
        <v>6981</v>
      </c>
      <c r="C140" s="1">
        <v>65.7</v>
      </c>
      <c r="D140" s="1">
        <v>7.4786000000000005E-2</v>
      </c>
      <c r="E140" s="1" t="str">
        <f t="shared" si="0"/>
        <v>SPFIX</v>
      </c>
    </row>
    <row r="141" spans="1:5" ht="14.25" customHeight="1" x14ac:dyDescent="0.25">
      <c r="A141" s="3">
        <v>40056</v>
      </c>
      <c r="B141" s="1">
        <v>6981</v>
      </c>
      <c r="C141" s="1">
        <v>67.099999999999994</v>
      </c>
      <c r="D141" s="1">
        <v>3.4293999999999998E-2</v>
      </c>
      <c r="E141" s="1" t="str">
        <f t="shared" si="0"/>
        <v>SPFIX</v>
      </c>
    </row>
    <row r="142" spans="1:5" ht="14.25" customHeight="1" x14ac:dyDescent="0.25">
      <c r="A142" s="3">
        <v>40086</v>
      </c>
      <c r="B142" s="1">
        <v>6981</v>
      </c>
      <c r="C142" s="1">
        <v>68.900000000000006</v>
      </c>
      <c r="D142" s="1">
        <v>3.5666000000000003E-2</v>
      </c>
      <c r="E142" s="1" t="str">
        <f t="shared" si="0"/>
        <v>SPFIX</v>
      </c>
    </row>
    <row r="143" spans="1:5" ht="14.25" customHeight="1" x14ac:dyDescent="0.25">
      <c r="A143" s="3">
        <v>40116</v>
      </c>
      <c r="B143" s="1">
        <v>6981</v>
      </c>
      <c r="C143" s="1">
        <v>67.599999999999994</v>
      </c>
      <c r="D143" s="1">
        <v>-1.6768000000000002E-2</v>
      </c>
      <c r="E143" s="1" t="str">
        <f t="shared" si="0"/>
        <v>SPFIX</v>
      </c>
    </row>
    <row r="144" spans="1:5" ht="14.25" customHeight="1" x14ac:dyDescent="0.25">
      <c r="A144" s="3">
        <v>40147</v>
      </c>
      <c r="B144" s="1">
        <v>6981</v>
      </c>
      <c r="C144" s="1">
        <v>70.8</v>
      </c>
      <c r="D144" s="1">
        <v>5.9214000000000003E-2</v>
      </c>
      <c r="E144" s="1" t="str">
        <f t="shared" si="0"/>
        <v>SPFIX</v>
      </c>
    </row>
    <row r="145" spans="1:5" ht="14.25" customHeight="1" x14ac:dyDescent="0.25">
      <c r="A145" s="3">
        <v>40178</v>
      </c>
      <c r="B145" s="1">
        <v>6981</v>
      </c>
      <c r="C145" s="1">
        <v>71.7</v>
      </c>
      <c r="D145" s="1">
        <v>1.9605999999999998E-2</v>
      </c>
      <c r="E145" s="1" t="str">
        <f t="shared" si="0"/>
        <v>SPFIX</v>
      </c>
    </row>
    <row r="146" spans="1:5" ht="14.25" customHeight="1" x14ac:dyDescent="0.25">
      <c r="A146" s="3">
        <v>40207</v>
      </c>
      <c r="B146" s="1">
        <v>6981</v>
      </c>
      <c r="C146" s="1">
        <v>69.099999999999994</v>
      </c>
      <c r="D146" s="1">
        <v>-3.5699000000000002E-2</v>
      </c>
      <c r="E146" s="1" t="str">
        <f t="shared" si="0"/>
        <v>SPFIX</v>
      </c>
    </row>
    <row r="147" spans="1:5" ht="14.25" customHeight="1" x14ac:dyDescent="0.25">
      <c r="A147" s="3">
        <v>40235</v>
      </c>
      <c r="B147" s="1">
        <v>6981</v>
      </c>
      <c r="C147" s="1">
        <v>71</v>
      </c>
      <c r="D147" s="1">
        <v>2.9707000000000001E-2</v>
      </c>
      <c r="E147" s="1" t="str">
        <f t="shared" si="0"/>
        <v>SPFIX</v>
      </c>
    </row>
    <row r="148" spans="1:5" ht="14.25" customHeight="1" x14ac:dyDescent="0.25">
      <c r="A148" s="3">
        <v>40268</v>
      </c>
      <c r="B148" s="1">
        <v>6981</v>
      </c>
      <c r="C148" s="1">
        <v>74.099999999999994</v>
      </c>
      <c r="D148" s="1">
        <v>5.9219000000000001E-2</v>
      </c>
      <c r="E148" s="1" t="str">
        <f t="shared" si="0"/>
        <v>SPFIX</v>
      </c>
    </row>
    <row r="149" spans="1:5" ht="14.25" customHeight="1" x14ac:dyDescent="0.25">
      <c r="A149" s="3">
        <v>40298</v>
      </c>
      <c r="B149" s="1">
        <v>6981</v>
      </c>
      <c r="C149" s="1">
        <v>76.3</v>
      </c>
      <c r="D149" s="1">
        <v>1.5987000000000001E-2</v>
      </c>
      <c r="E149" s="1" t="str">
        <f t="shared" si="0"/>
        <v>SPFIX</v>
      </c>
    </row>
    <row r="150" spans="1:5" ht="14.25" customHeight="1" x14ac:dyDescent="0.25">
      <c r="A150" s="3">
        <v>40326</v>
      </c>
      <c r="B150" s="1">
        <v>6981</v>
      </c>
      <c r="C150" s="1">
        <v>69.8</v>
      </c>
      <c r="D150" s="1">
        <v>-7.9917000000000002E-2</v>
      </c>
      <c r="E150" s="1" t="str">
        <f t="shared" si="0"/>
        <v>SPFIX</v>
      </c>
    </row>
    <row r="151" spans="1:5" ht="14.25" customHeight="1" x14ac:dyDescent="0.25">
      <c r="A151" s="3">
        <v>40359</v>
      </c>
      <c r="B151" s="1">
        <v>6981</v>
      </c>
      <c r="C151" s="1">
        <v>65.599999999999994</v>
      </c>
      <c r="D151" s="1">
        <v>-5.2705000000000002E-2</v>
      </c>
      <c r="E151" s="1" t="str">
        <f t="shared" si="0"/>
        <v>SPFIX</v>
      </c>
    </row>
    <row r="152" spans="1:5" ht="14.25" customHeight="1" x14ac:dyDescent="0.25">
      <c r="A152" s="3">
        <v>40389</v>
      </c>
      <c r="B152" s="1">
        <v>6981</v>
      </c>
      <c r="C152" s="1">
        <v>69.2</v>
      </c>
      <c r="D152" s="1">
        <v>6.9655999999999996E-2</v>
      </c>
      <c r="E152" s="1" t="str">
        <f t="shared" si="0"/>
        <v>SPFIX</v>
      </c>
    </row>
    <row r="153" spans="1:5" ht="14.25" customHeight="1" x14ac:dyDescent="0.25">
      <c r="A153" s="3">
        <v>40421</v>
      </c>
      <c r="B153" s="1">
        <v>6981</v>
      </c>
      <c r="C153" s="1">
        <v>65.8</v>
      </c>
      <c r="D153" s="1">
        <v>-4.5048999999999999E-2</v>
      </c>
      <c r="E153" s="1" t="str">
        <f t="shared" si="0"/>
        <v>SPFIX</v>
      </c>
    </row>
    <row r="154" spans="1:5" ht="14.25" customHeight="1" x14ac:dyDescent="0.25">
      <c r="A154" s="3">
        <v>40451</v>
      </c>
      <c r="B154" s="1">
        <v>6981</v>
      </c>
      <c r="C154" s="1">
        <v>70.900000000000006</v>
      </c>
      <c r="D154" s="1">
        <v>8.9159000000000002E-2</v>
      </c>
      <c r="E154" s="1" t="str">
        <f t="shared" si="0"/>
        <v>SPFIX</v>
      </c>
    </row>
    <row r="155" spans="1:5" ht="14.25" customHeight="1" x14ac:dyDescent="0.25">
      <c r="A155" s="3">
        <v>40480</v>
      </c>
      <c r="B155" s="1">
        <v>6981</v>
      </c>
      <c r="C155" s="1">
        <v>73.3</v>
      </c>
      <c r="D155" s="1">
        <v>3.7914999999999997E-2</v>
      </c>
      <c r="E155" s="1" t="str">
        <f t="shared" si="0"/>
        <v>SPFIX</v>
      </c>
    </row>
    <row r="156" spans="1:5" ht="14.25" customHeight="1" x14ac:dyDescent="0.25">
      <c r="A156" s="3">
        <v>40512</v>
      </c>
      <c r="B156" s="1">
        <v>6981</v>
      </c>
      <c r="C156" s="1">
        <v>72.900000000000006</v>
      </c>
      <c r="D156" s="1">
        <v>-4.15E-4</v>
      </c>
      <c r="E156" s="1" t="str">
        <f t="shared" si="0"/>
        <v>SPFIX</v>
      </c>
    </row>
    <row r="157" spans="1:5" ht="14.25" customHeight="1" x14ac:dyDescent="0.25">
      <c r="A157" s="3">
        <v>40543</v>
      </c>
      <c r="B157" s="1">
        <v>6981</v>
      </c>
      <c r="C157" s="1">
        <v>77</v>
      </c>
      <c r="D157" s="1">
        <v>6.6138000000000002E-2</v>
      </c>
      <c r="E157" s="1" t="str">
        <f t="shared" si="0"/>
        <v>SPFIX</v>
      </c>
    </row>
    <row r="158" spans="1:5" ht="14.25" customHeight="1" x14ac:dyDescent="0.25">
      <c r="A158" s="3">
        <v>40574</v>
      </c>
      <c r="B158" s="1">
        <v>6981</v>
      </c>
      <c r="C158" s="1">
        <v>79.099999999999994</v>
      </c>
      <c r="D158" s="1">
        <v>2.3473999999999998E-2</v>
      </c>
      <c r="E158" s="1" t="str">
        <f t="shared" si="0"/>
        <v>SPFIX</v>
      </c>
    </row>
    <row r="159" spans="1:5" ht="14.25" customHeight="1" x14ac:dyDescent="0.25">
      <c r="A159" s="3">
        <v>40602</v>
      </c>
      <c r="B159" s="1">
        <v>6981</v>
      </c>
      <c r="C159" s="1">
        <v>81.7</v>
      </c>
      <c r="D159" s="1">
        <v>3.4403999999999997E-2</v>
      </c>
      <c r="E159" s="1" t="str">
        <f t="shared" si="0"/>
        <v>SPFIX</v>
      </c>
    </row>
    <row r="160" spans="1:5" ht="14.25" customHeight="1" x14ac:dyDescent="0.25">
      <c r="A160" s="3">
        <v>40633</v>
      </c>
      <c r="B160" s="1">
        <v>6981</v>
      </c>
      <c r="C160" s="1">
        <v>80.900000000000006</v>
      </c>
      <c r="D160" s="1">
        <v>3.0299999999999999E-4</v>
      </c>
      <c r="E160" s="1" t="str">
        <f t="shared" si="0"/>
        <v>SPFIX</v>
      </c>
    </row>
    <row r="161" spans="1:5" ht="14.25" customHeight="1" x14ac:dyDescent="0.25">
      <c r="A161" s="3">
        <v>40662</v>
      </c>
      <c r="B161" s="1">
        <v>6981</v>
      </c>
      <c r="C161" s="1">
        <v>83.4</v>
      </c>
      <c r="D161" s="1">
        <v>3.0044999999999999E-2</v>
      </c>
      <c r="E161" s="1" t="str">
        <f t="shared" si="0"/>
        <v>SPFIX</v>
      </c>
    </row>
    <row r="162" spans="1:5" ht="14.25" customHeight="1" x14ac:dyDescent="0.25">
      <c r="A162" s="3">
        <v>40694</v>
      </c>
      <c r="B162" s="1">
        <v>6981</v>
      </c>
      <c r="C162" s="1">
        <v>82.4</v>
      </c>
      <c r="D162" s="1">
        <v>-1.1162999999999999E-2</v>
      </c>
      <c r="E162" s="1" t="str">
        <f t="shared" si="0"/>
        <v>SPFIX</v>
      </c>
    </row>
    <row r="163" spans="1:5" ht="14.25" customHeight="1" x14ac:dyDescent="0.25">
      <c r="A163" s="3">
        <v>40724</v>
      </c>
      <c r="B163" s="1">
        <v>6981</v>
      </c>
      <c r="C163" s="1">
        <v>80.5</v>
      </c>
      <c r="D163" s="1">
        <v>-1.6788000000000001E-2</v>
      </c>
      <c r="E163" s="1" t="str">
        <f t="shared" si="0"/>
        <v>SPFIX</v>
      </c>
    </row>
    <row r="164" spans="1:5" ht="14.25" customHeight="1" x14ac:dyDescent="0.25">
      <c r="A164" s="3">
        <v>40753</v>
      </c>
      <c r="B164" s="1">
        <v>6981</v>
      </c>
      <c r="C164" s="1">
        <v>78.8</v>
      </c>
      <c r="D164" s="1">
        <v>-2.0081999999999999E-2</v>
      </c>
      <c r="E164" s="1" t="str">
        <f t="shared" si="0"/>
        <v>SPFIX</v>
      </c>
    </row>
    <row r="165" spans="1:5" ht="14.25" customHeight="1" x14ac:dyDescent="0.25">
      <c r="A165" s="3">
        <v>40786</v>
      </c>
      <c r="B165" s="1">
        <v>6981</v>
      </c>
      <c r="C165" s="1">
        <v>74.8</v>
      </c>
      <c r="D165" s="1">
        <v>-5.4649000000000003E-2</v>
      </c>
      <c r="E165" s="1" t="str">
        <f t="shared" si="0"/>
        <v>SPFIX</v>
      </c>
    </row>
    <row r="166" spans="1:5" ht="14.25" customHeight="1" x14ac:dyDescent="0.25">
      <c r="A166" s="3">
        <v>40816</v>
      </c>
      <c r="B166" s="1">
        <v>6981</v>
      </c>
      <c r="C166" s="1">
        <v>69.099999999999994</v>
      </c>
      <c r="D166" s="1">
        <v>-6.8274000000000001E-2</v>
      </c>
      <c r="E166" s="1" t="str">
        <f t="shared" si="0"/>
        <v>SPFIX</v>
      </c>
    </row>
    <row r="167" spans="1:5" ht="14.25" customHeight="1" x14ac:dyDescent="0.25">
      <c r="A167" s="3">
        <v>40847</v>
      </c>
      <c r="B167" s="1">
        <v>6981</v>
      </c>
      <c r="C167" s="1">
        <v>76.599999999999994</v>
      </c>
      <c r="D167" s="1">
        <v>0.108658</v>
      </c>
      <c r="E167" s="1" t="str">
        <f t="shared" si="0"/>
        <v>SPFIX</v>
      </c>
    </row>
    <row r="168" spans="1:5" ht="14.25" customHeight="1" x14ac:dyDescent="0.25">
      <c r="A168" s="3">
        <v>40877</v>
      </c>
      <c r="B168" s="1">
        <v>6981</v>
      </c>
      <c r="C168" s="1">
        <v>76.3</v>
      </c>
      <c r="D168" s="1">
        <v>-1.952E-3</v>
      </c>
      <c r="E168" s="1" t="str">
        <f t="shared" si="0"/>
        <v>SPFIX</v>
      </c>
    </row>
    <row r="169" spans="1:5" ht="14.25" customHeight="1" x14ac:dyDescent="0.25">
      <c r="A169" s="3">
        <v>40907</v>
      </c>
      <c r="B169" s="1">
        <v>6981</v>
      </c>
      <c r="C169" s="1">
        <v>76.7</v>
      </c>
      <c r="D169" s="1">
        <v>1.0043E-2</v>
      </c>
      <c r="E169" s="1" t="str">
        <f t="shared" si="0"/>
        <v>SPFIX</v>
      </c>
    </row>
    <row r="170" spans="1:5" ht="14.25" customHeight="1" x14ac:dyDescent="0.25">
      <c r="A170" s="3">
        <v>40939</v>
      </c>
      <c r="B170" s="1">
        <v>6981</v>
      </c>
      <c r="C170" s="1">
        <v>80.8</v>
      </c>
      <c r="D170" s="1">
        <v>4.3985999999999997E-2</v>
      </c>
      <c r="E170" s="1" t="str">
        <f t="shared" si="0"/>
        <v>SPFIX</v>
      </c>
    </row>
    <row r="171" spans="1:5" ht="14.25" customHeight="1" x14ac:dyDescent="0.25">
      <c r="A171" s="3">
        <v>40968</v>
      </c>
      <c r="B171" s="1">
        <v>6981</v>
      </c>
      <c r="C171" s="1">
        <v>84.7</v>
      </c>
      <c r="D171" s="1">
        <v>4.2506000000000002E-2</v>
      </c>
      <c r="E171" s="1" t="str">
        <f t="shared" si="0"/>
        <v>SPFIX</v>
      </c>
    </row>
    <row r="172" spans="1:5" ht="14.25" customHeight="1" x14ac:dyDescent="0.25">
      <c r="A172" s="3">
        <v>40998</v>
      </c>
      <c r="B172" s="1">
        <v>6981</v>
      </c>
      <c r="C172" s="1">
        <v>85.8</v>
      </c>
      <c r="D172" s="1">
        <v>3.2257000000000001E-2</v>
      </c>
      <c r="E172" s="1" t="str">
        <f t="shared" si="0"/>
        <v>SPFIX</v>
      </c>
    </row>
    <row r="173" spans="1:5" ht="14.25" customHeight="1" x14ac:dyDescent="0.25">
      <c r="A173" s="3">
        <v>41029</v>
      </c>
      <c r="B173" s="1">
        <v>6981</v>
      </c>
      <c r="C173" s="1">
        <v>85.3</v>
      </c>
      <c r="D173" s="1">
        <v>-6.6109999999999997E-3</v>
      </c>
      <c r="E173" s="1" t="str">
        <f t="shared" si="0"/>
        <v>SPFIX</v>
      </c>
    </row>
    <row r="174" spans="1:5" ht="14.25" customHeight="1" x14ac:dyDescent="0.25">
      <c r="A174" s="3">
        <v>41060</v>
      </c>
      <c r="B174" s="1">
        <v>6981</v>
      </c>
      <c r="C174" s="1">
        <v>79.7</v>
      </c>
      <c r="D174" s="1">
        <v>-6.0595000000000003E-2</v>
      </c>
      <c r="E174" s="1" t="str">
        <f t="shared" si="0"/>
        <v>SPFIX</v>
      </c>
    </row>
    <row r="175" spans="1:5" ht="14.25" customHeight="1" x14ac:dyDescent="0.25">
      <c r="A175" s="3">
        <v>41089</v>
      </c>
      <c r="B175" s="1">
        <v>6981</v>
      </c>
      <c r="C175" s="1">
        <v>82.6</v>
      </c>
      <c r="D175" s="1">
        <v>4.1201000000000002E-2</v>
      </c>
      <c r="E175" s="1" t="str">
        <f t="shared" si="0"/>
        <v>SPFIX</v>
      </c>
    </row>
    <row r="176" spans="1:5" ht="14.25" customHeight="1" x14ac:dyDescent="0.25">
      <c r="A176" s="3">
        <v>41121</v>
      </c>
      <c r="B176" s="1">
        <v>6981</v>
      </c>
      <c r="C176" s="1">
        <v>83.8</v>
      </c>
      <c r="D176" s="1">
        <v>1.259E-2</v>
      </c>
      <c r="E176" s="1" t="str">
        <f t="shared" si="0"/>
        <v>SPFIX</v>
      </c>
    </row>
    <row r="177" spans="1:5" ht="14.25" customHeight="1" x14ac:dyDescent="0.25">
      <c r="A177" s="3">
        <v>41152</v>
      </c>
      <c r="B177" s="1">
        <v>6981</v>
      </c>
      <c r="C177" s="1">
        <v>85.3</v>
      </c>
      <c r="D177" s="1">
        <v>2.2380000000000001E-2</v>
      </c>
      <c r="E177" s="1" t="str">
        <f t="shared" si="0"/>
        <v>SPFIX</v>
      </c>
    </row>
    <row r="178" spans="1:5" ht="14.25" customHeight="1" x14ac:dyDescent="0.25">
      <c r="A178" s="3">
        <v>41180</v>
      </c>
      <c r="B178" s="1">
        <v>6981</v>
      </c>
      <c r="C178" s="1">
        <v>87.3</v>
      </c>
      <c r="D178" s="1">
        <v>2.5930999999999999E-2</v>
      </c>
      <c r="E178" s="1" t="str">
        <f t="shared" si="0"/>
        <v>SPFIX</v>
      </c>
    </row>
    <row r="179" spans="1:5" ht="14.25" customHeight="1" x14ac:dyDescent="0.25">
      <c r="A179" s="3">
        <v>41213</v>
      </c>
      <c r="B179" s="1">
        <v>6981</v>
      </c>
      <c r="C179" s="1">
        <v>85.9</v>
      </c>
      <c r="D179" s="1">
        <v>-1.8009000000000001E-2</v>
      </c>
      <c r="E179" s="1" t="str">
        <f t="shared" si="0"/>
        <v>SPFIX</v>
      </c>
    </row>
    <row r="180" spans="1:5" ht="14.25" customHeight="1" x14ac:dyDescent="0.25">
      <c r="A180" s="3">
        <v>41243</v>
      </c>
      <c r="B180" s="1">
        <v>6981</v>
      </c>
      <c r="C180" s="1">
        <v>99.5</v>
      </c>
      <c r="D180" s="1">
        <v>6.228E-3</v>
      </c>
      <c r="E180" s="1" t="str">
        <f t="shared" si="0"/>
        <v>SPFIX</v>
      </c>
    </row>
    <row r="181" spans="1:5" ht="14.25" customHeight="1" x14ac:dyDescent="0.25">
      <c r="A181" s="3">
        <v>41274</v>
      </c>
      <c r="B181" s="1">
        <v>6981</v>
      </c>
      <c r="C181" s="1">
        <v>98.9</v>
      </c>
      <c r="D181" s="1">
        <v>8.5690000000000002E-3</v>
      </c>
      <c r="E181" s="1" t="str">
        <f t="shared" si="0"/>
        <v>SPFIX</v>
      </c>
    </row>
    <row r="182" spans="1:5" ht="14.25" customHeight="1" x14ac:dyDescent="0.25">
      <c r="A182" s="3">
        <v>41305</v>
      </c>
      <c r="B182" s="1">
        <v>6981</v>
      </c>
      <c r="C182" s="1">
        <v>105.5</v>
      </c>
      <c r="D182" s="1">
        <v>5.1677000000000001E-2</v>
      </c>
      <c r="E182" s="1" t="str">
        <f t="shared" si="0"/>
        <v>SPFIX</v>
      </c>
    </row>
    <row r="183" spans="1:5" ht="14.25" customHeight="1" x14ac:dyDescent="0.25">
      <c r="A183" s="3">
        <v>41333</v>
      </c>
      <c r="B183" s="1">
        <v>6981</v>
      </c>
      <c r="C183" s="1">
        <v>107.2</v>
      </c>
      <c r="D183" s="1">
        <v>1.3342E-2</v>
      </c>
      <c r="E183" s="1" t="str">
        <f t="shared" si="0"/>
        <v>SPFIX</v>
      </c>
    </row>
    <row r="184" spans="1:5" ht="14.25" customHeight="1" x14ac:dyDescent="0.25">
      <c r="A184" s="3">
        <v>41361</v>
      </c>
      <c r="B184" s="1">
        <v>6981</v>
      </c>
      <c r="C184" s="1">
        <v>96.4</v>
      </c>
      <c r="D184" s="1">
        <v>3.7276999999999998E-2</v>
      </c>
      <c r="E184" s="1" t="str">
        <f t="shared" si="0"/>
        <v>SPFIX</v>
      </c>
    </row>
    <row r="185" spans="1:5" ht="14.25" customHeight="1" x14ac:dyDescent="0.25">
      <c r="A185" s="3">
        <v>41394</v>
      </c>
      <c r="B185" s="1">
        <v>6981</v>
      </c>
      <c r="C185" s="1">
        <v>99</v>
      </c>
      <c r="D185" s="1">
        <v>1.8644999999999998E-2</v>
      </c>
      <c r="E185" s="1" t="str">
        <f t="shared" si="0"/>
        <v>SPFIX</v>
      </c>
    </row>
    <row r="186" spans="1:5" ht="14.25" customHeight="1" x14ac:dyDescent="0.25">
      <c r="A186" s="3">
        <v>41425</v>
      </c>
      <c r="B186" s="1">
        <v>6981</v>
      </c>
      <c r="C186" s="1">
        <v>100.2</v>
      </c>
      <c r="D186" s="1">
        <v>2.3185000000000001E-2</v>
      </c>
      <c r="E186" s="1" t="str">
        <f t="shared" si="0"/>
        <v>SPFIX</v>
      </c>
    </row>
    <row r="187" spans="1:5" ht="14.25" customHeight="1" x14ac:dyDescent="0.25">
      <c r="A187" s="3">
        <v>41453</v>
      </c>
      <c r="B187" s="1">
        <v>6981</v>
      </c>
      <c r="C187" s="1">
        <v>98.5</v>
      </c>
      <c r="D187" s="1">
        <v>-1.3481999999999999E-2</v>
      </c>
      <c r="E187" s="1" t="str">
        <f t="shared" si="0"/>
        <v>SPFIX</v>
      </c>
    </row>
    <row r="188" spans="1:5" ht="14.25" customHeight="1" x14ac:dyDescent="0.25">
      <c r="A188" s="3">
        <v>41486</v>
      </c>
      <c r="B188" s="1">
        <v>6981</v>
      </c>
      <c r="C188" s="1">
        <v>103.8</v>
      </c>
      <c r="D188" s="1">
        <v>5.0698E-2</v>
      </c>
      <c r="E188" s="1" t="str">
        <f t="shared" si="0"/>
        <v>SPFIX</v>
      </c>
    </row>
    <row r="189" spans="1:5" ht="14.25" customHeight="1" x14ac:dyDescent="0.25">
      <c r="A189" s="3">
        <v>41516</v>
      </c>
      <c r="B189" s="1">
        <v>6981</v>
      </c>
      <c r="C189" s="1">
        <v>101.1</v>
      </c>
      <c r="D189" s="1">
        <v>-2.9471000000000001E-2</v>
      </c>
      <c r="E189" s="1" t="str">
        <f t="shared" si="0"/>
        <v>SPFIX</v>
      </c>
    </row>
    <row r="190" spans="1:5" ht="14.25" customHeight="1" x14ac:dyDescent="0.25">
      <c r="A190" s="3">
        <v>41547</v>
      </c>
      <c r="B190" s="1">
        <v>6981</v>
      </c>
      <c r="C190" s="1">
        <v>103.9</v>
      </c>
      <c r="D190" s="1">
        <v>3.0943999999999999E-2</v>
      </c>
      <c r="E190" s="1" t="str">
        <f t="shared" si="0"/>
        <v>SPFIX</v>
      </c>
    </row>
    <row r="191" spans="1:5" ht="14.25" customHeight="1" x14ac:dyDescent="0.25">
      <c r="A191" s="3">
        <v>41578</v>
      </c>
      <c r="B191" s="1">
        <v>6981</v>
      </c>
      <c r="C191" s="1">
        <v>109.5</v>
      </c>
      <c r="D191" s="1">
        <v>4.5494E-2</v>
      </c>
      <c r="E191" s="1" t="str">
        <f t="shared" si="0"/>
        <v>SPFIX</v>
      </c>
    </row>
    <row r="192" spans="1:5" ht="14.25" customHeight="1" x14ac:dyDescent="0.25">
      <c r="A192" s="3">
        <v>41607</v>
      </c>
      <c r="B192" s="1">
        <v>6981</v>
      </c>
      <c r="C192" s="1">
        <v>110.5</v>
      </c>
      <c r="D192" s="1">
        <v>3.0421E-2</v>
      </c>
      <c r="E192" s="1" t="str">
        <f t="shared" si="0"/>
        <v>SPFIX</v>
      </c>
    </row>
    <row r="193" spans="1:5" ht="14.25" customHeight="1" x14ac:dyDescent="0.25">
      <c r="A193" s="3">
        <v>41639</v>
      </c>
      <c r="B193" s="1">
        <v>6981</v>
      </c>
      <c r="C193" s="1">
        <v>114.6</v>
      </c>
      <c r="D193" s="1">
        <v>2.5396999999999999E-2</v>
      </c>
      <c r="E193" s="1" t="str">
        <f t="shared" si="0"/>
        <v>SPFIX</v>
      </c>
    </row>
    <row r="194" spans="1:5" ht="14.25" customHeight="1" x14ac:dyDescent="0.25">
      <c r="A194" s="3">
        <v>41670</v>
      </c>
      <c r="B194" s="1">
        <v>6981</v>
      </c>
      <c r="C194" s="1">
        <v>110.9</v>
      </c>
      <c r="D194" s="1">
        <v>-3.6124999999999997E-2</v>
      </c>
      <c r="E194" s="1" t="str">
        <f t="shared" si="0"/>
        <v>SPFIX</v>
      </c>
    </row>
    <row r="195" spans="1:5" ht="14.25" customHeight="1" x14ac:dyDescent="0.25">
      <c r="A195" s="3">
        <v>41698</v>
      </c>
      <c r="B195" s="1">
        <v>6981</v>
      </c>
      <c r="C195" s="1">
        <v>116</v>
      </c>
      <c r="D195" s="1">
        <v>4.5253000000000002E-2</v>
      </c>
      <c r="E195" s="1" t="str">
        <f t="shared" si="0"/>
        <v>SPFIX</v>
      </c>
    </row>
    <row r="196" spans="1:5" ht="14.25" customHeight="1" x14ac:dyDescent="0.25">
      <c r="A196" s="3">
        <v>41729</v>
      </c>
      <c r="B196" s="1">
        <v>6981</v>
      </c>
      <c r="C196" s="1">
        <v>116</v>
      </c>
      <c r="D196" s="1">
        <v>8.574E-3</v>
      </c>
      <c r="E196" s="1" t="str">
        <f t="shared" si="0"/>
        <v>SPFIX</v>
      </c>
    </row>
    <row r="197" spans="1:5" ht="14.25" customHeight="1" x14ac:dyDescent="0.25">
      <c r="A197" s="3">
        <v>41759</v>
      </c>
      <c r="B197" s="1">
        <v>6981</v>
      </c>
      <c r="C197" s="1">
        <v>117.1</v>
      </c>
      <c r="D197" s="1">
        <v>7.4029999999999999E-3</v>
      </c>
      <c r="E197" s="1" t="str">
        <f t="shared" si="0"/>
        <v>SPFIX</v>
      </c>
    </row>
    <row r="198" spans="1:5" ht="14.25" customHeight="1" x14ac:dyDescent="0.25">
      <c r="A198" s="3">
        <v>41789</v>
      </c>
      <c r="B198" s="1">
        <v>6981</v>
      </c>
      <c r="C198" s="1">
        <v>119.5</v>
      </c>
      <c r="D198" s="1">
        <v>2.2835000000000001E-2</v>
      </c>
      <c r="E198" s="1" t="str">
        <f t="shared" si="0"/>
        <v>SPFIX</v>
      </c>
    </row>
    <row r="199" spans="1:5" ht="14.25" customHeight="1" x14ac:dyDescent="0.25">
      <c r="A199" s="3">
        <v>41820</v>
      </c>
      <c r="B199" s="1">
        <v>6981</v>
      </c>
      <c r="C199" s="1">
        <v>121.5</v>
      </c>
      <c r="D199" s="1">
        <v>1.9932999999999999E-2</v>
      </c>
      <c r="E199" s="1" t="str">
        <f t="shared" si="0"/>
        <v>SPFIX</v>
      </c>
    </row>
    <row r="200" spans="1:5" ht="14.25" customHeight="1" x14ac:dyDescent="0.25">
      <c r="A200" s="3">
        <v>41851</v>
      </c>
      <c r="B200" s="1">
        <v>6981</v>
      </c>
      <c r="C200" s="1">
        <v>119.5</v>
      </c>
      <c r="D200" s="1">
        <v>-1.3639999999999999E-2</v>
      </c>
      <c r="E200" s="1" t="str">
        <f t="shared" si="0"/>
        <v>SPFIX</v>
      </c>
    </row>
    <row r="201" spans="1:5" ht="14.25" customHeight="1" x14ac:dyDescent="0.25">
      <c r="A201" s="3">
        <v>41880</v>
      </c>
      <c r="B201" s="1">
        <v>6981</v>
      </c>
      <c r="C201" s="1">
        <v>123.7</v>
      </c>
      <c r="D201" s="1">
        <v>3.9948999999999998E-2</v>
      </c>
      <c r="E201" s="1" t="str">
        <f t="shared" si="0"/>
        <v>SPFIX</v>
      </c>
    </row>
    <row r="202" spans="1:5" ht="14.25" customHeight="1" x14ac:dyDescent="0.25">
      <c r="A202" s="3">
        <v>41912</v>
      </c>
      <c r="B202" s="1">
        <v>6981</v>
      </c>
      <c r="C202" s="1">
        <v>121.8</v>
      </c>
      <c r="D202" s="1">
        <v>-1.4508999999999999E-2</v>
      </c>
      <c r="E202" s="1" t="str">
        <f t="shared" si="0"/>
        <v>SPFIX</v>
      </c>
    </row>
    <row r="203" spans="1:5" ht="14.25" customHeight="1" x14ac:dyDescent="0.25">
      <c r="A203" s="3">
        <v>41943</v>
      </c>
      <c r="B203" s="1">
        <v>6981</v>
      </c>
      <c r="C203" s="1">
        <v>126.4</v>
      </c>
      <c r="D203" s="1">
        <v>2.4586E-2</v>
      </c>
      <c r="E203" s="1" t="str">
        <f t="shared" si="0"/>
        <v>SPFIX</v>
      </c>
    </row>
    <row r="204" spans="1:5" ht="14.25" customHeight="1" x14ac:dyDescent="0.25">
      <c r="A204" s="3">
        <v>41971</v>
      </c>
      <c r="B204" s="1">
        <v>6981</v>
      </c>
      <c r="C204" s="1">
        <v>130</v>
      </c>
      <c r="D204" s="1">
        <v>2.7074000000000001E-2</v>
      </c>
      <c r="E204" s="1" t="str">
        <f t="shared" si="0"/>
        <v>SPFIX</v>
      </c>
    </row>
    <row r="205" spans="1:5" ht="14.25" customHeight="1" x14ac:dyDescent="0.25">
      <c r="A205" s="3">
        <v>42004</v>
      </c>
      <c r="B205" s="1">
        <v>6981</v>
      </c>
      <c r="C205" s="1">
        <v>129.69999999999999</v>
      </c>
      <c r="D205" s="1">
        <v>-2.7859999999999998E-3</v>
      </c>
      <c r="E205" s="1" t="str">
        <f t="shared" si="0"/>
        <v>SPFIX</v>
      </c>
    </row>
    <row r="206" spans="1:5" ht="14.25" customHeight="1" x14ac:dyDescent="0.25">
      <c r="A206" s="3">
        <v>42034</v>
      </c>
      <c r="B206" s="1">
        <v>6981</v>
      </c>
      <c r="C206" s="1">
        <v>125.1</v>
      </c>
      <c r="D206" s="1">
        <v>-2.9894E-2</v>
      </c>
      <c r="E206" s="1" t="str">
        <f t="shared" si="0"/>
        <v>SPFIX</v>
      </c>
    </row>
    <row r="207" spans="1:5" ht="14.25" customHeight="1" x14ac:dyDescent="0.25">
      <c r="A207" s="3">
        <v>42062</v>
      </c>
      <c r="B207" s="1">
        <v>6981</v>
      </c>
      <c r="C207" s="1">
        <v>132.5</v>
      </c>
      <c r="D207" s="1">
        <v>5.7405999999999999E-2</v>
      </c>
      <c r="E207" s="1" t="str">
        <f t="shared" si="0"/>
        <v>SPFIX</v>
      </c>
    </row>
    <row r="208" spans="1:5" ht="14.25" customHeight="1" x14ac:dyDescent="0.25">
      <c r="A208" s="3">
        <v>42094</v>
      </c>
      <c r="B208" s="1">
        <v>6981</v>
      </c>
      <c r="C208" s="1">
        <v>129.80000000000001</v>
      </c>
      <c r="D208" s="1">
        <v>-1.6646000000000001E-2</v>
      </c>
      <c r="E208" s="1" t="str">
        <f t="shared" si="0"/>
        <v>SPFIX</v>
      </c>
    </row>
    <row r="209" spans="1:5" ht="14.25" customHeight="1" x14ac:dyDescent="0.25">
      <c r="A209" s="3">
        <v>42124</v>
      </c>
      <c r="B209" s="1">
        <v>6981</v>
      </c>
      <c r="C209" s="1">
        <v>131.5</v>
      </c>
      <c r="D209" s="1">
        <v>9.8420000000000001E-3</v>
      </c>
      <c r="E209" s="1" t="str">
        <f t="shared" si="0"/>
        <v>SPFIX</v>
      </c>
    </row>
    <row r="210" spans="1:5" ht="14.25" customHeight="1" x14ac:dyDescent="0.25">
      <c r="A210" s="3">
        <v>42153</v>
      </c>
      <c r="B210" s="1">
        <v>6981</v>
      </c>
      <c r="C210" s="1">
        <v>132.6</v>
      </c>
      <c r="D210" s="1">
        <v>1.3073E-2</v>
      </c>
      <c r="E210" s="1" t="str">
        <f t="shared" si="0"/>
        <v>SPFIX</v>
      </c>
    </row>
    <row r="211" spans="1:5" ht="14.25" customHeight="1" x14ac:dyDescent="0.25">
      <c r="A211" s="3">
        <v>42185</v>
      </c>
      <c r="B211" s="1">
        <v>6981</v>
      </c>
      <c r="C211" s="1">
        <v>129.6</v>
      </c>
      <c r="D211" s="1">
        <v>-1.9737000000000001E-2</v>
      </c>
      <c r="E211" s="1" t="str">
        <f t="shared" si="0"/>
        <v>SPFIX</v>
      </c>
    </row>
    <row r="212" spans="1:5" ht="14.25" customHeight="1" x14ac:dyDescent="0.25">
      <c r="A212" s="3">
        <v>42216</v>
      </c>
      <c r="B212" s="1">
        <v>6981</v>
      </c>
      <c r="C212" s="1">
        <v>131.80000000000001</v>
      </c>
      <c r="D212" s="1">
        <v>2.0433E-2</v>
      </c>
      <c r="E212" s="1" t="str">
        <f t="shared" si="0"/>
        <v>SPFIX</v>
      </c>
    </row>
    <row r="213" spans="1:5" ht="14.25" customHeight="1" x14ac:dyDescent="0.25">
      <c r="A213" s="3">
        <v>42247</v>
      </c>
      <c r="B213" s="1">
        <v>6981</v>
      </c>
      <c r="C213" s="1">
        <v>123.2</v>
      </c>
      <c r="D213" s="1">
        <v>-6.0541999999999999E-2</v>
      </c>
      <c r="E213" s="1" t="str">
        <f t="shared" si="0"/>
        <v>SPFIX</v>
      </c>
    </row>
    <row r="214" spans="1:5" ht="14.25" customHeight="1" x14ac:dyDescent="0.25">
      <c r="A214" s="3">
        <v>42277</v>
      </c>
      <c r="B214" s="1">
        <v>6981</v>
      </c>
      <c r="C214" s="1">
        <v>119.8</v>
      </c>
      <c r="D214" s="1">
        <v>-2.4944999999999998E-2</v>
      </c>
      <c r="E214" s="1" t="str">
        <f t="shared" si="0"/>
        <v>SPFIX</v>
      </c>
    </row>
    <row r="215" spans="1:5" ht="14.25" customHeight="1" x14ac:dyDescent="0.25">
      <c r="A215" s="3">
        <v>42307</v>
      </c>
      <c r="B215" s="1">
        <v>6981</v>
      </c>
      <c r="C215" s="1">
        <v>130.1</v>
      </c>
      <c r="D215" s="1">
        <v>8.4259000000000001E-2</v>
      </c>
      <c r="E215" s="1" t="str">
        <f t="shared" si="0"/>
        <v>SPFIX</v>
      </c>
    </row>
    <row r="216" spans="1:5" ht="14.25" customHeight="1" x14ac:dyDescent="0.25">
      <c r="A216" s="3">
        <v>42338</v>
      </c>
      <c r="B216" s="1">
        <v>6981</v>
      </c>
      <c r="C216" s="1">
        <v>127.9</v>
      </c>
      <c r="D216" s="1">
        <v>2.598E-3</v>
      </c>
      <c r="E216" s="1" t="str">
        <f t="shared" si="0"/>
        <v>SPFIX</v>
      </c>
    </row>
    <row r="217" spans="1:5" ht="14.25" customHeight="1" x14ac:dyDescent="0.25">
      <c r="A217" s="3">
        <v>42369</v>
      </c>
      <c r="B217" s="1">
        <v>6981</v>
      </c>
      <c r="C217" s="1">
        <v>127.8</v>
      </c>
      <c r="D217" s="1">
        <v>-1.6764000000000001E-2</v>
      </c>
      <c r="E217" s="1" t="str">
        <f t="shared" si="0"/>
        <v>SPFIX</v>
      </c>
    </row>
    <row r="218" spans="1:5" ht="14.25" customHeight="1" x14ac:dyDescent="0.25">
      <c r="A218" s="3">
        <v>42398</v>
      </c>
      <c r="B218" s="1">
        <v>6981</v>
      </c>
      <c r="C218" s="1">
        <v>122.4</v>
      </c>
      <c r="D218" s="1">
        <v>-4.9278000000000002E-2</v>
      </c>
      <c r="E218" s="1" t="str">
        <f t="shared" si="0"/>
        <v>SPFIX</v>
      </c>
    </row>
    <row r="219" spans="1:5" ht="14.25" customHeight="1" x14ac:dyDescent="0.25">
      <c r="A219" s="3">
        <v>42429</v>
      </c>
      <c r="B219" s="1">
        <v>6981</v>
      </c>
      <c r="C219" s="1">
        <v>121</v>
      </c>
      <c r="D219" s="1">
        <v>-7.85E-4</v>
      </c>
      <c r="E219" s="1" t="str">
        <f t="shared" si="0"/>
        <v>SPFIX</v>
      </c>
    </row>
    <row r="220" spans="1:5" ht="14.25" customHeight="1" x14ac:dyDescent="0.25">
      <c r="A220" s="3">
        <v>42460</v>
      </c>
      <c r="B220" s="1">
        <v>6981</v>
      </c>
      <c r="C220" s="1">
        <v>128.4</v>
      </c>
      <c r="D220" s="1">
        <v>6.7146999999999998E-2</v>
      </c>
      <c r="E220" s="1" t="str">
        <f t="shared" si="0"/>
        <v>SPFIX</v>
      </c>
    </row>
    <row r="221" spans="1:5" ht="14.25" customHeight="1" x14ac:dyDescent="0.25">
      <c r="A221" s="3">
        <v>42489</v>
      </c>
      <c r="B221" s="1">
        <v>6981</v>
      </c>
      <c r="C221" s="1">
        <v>129.19999999999999</v>
      </c>
      <c r="D221" s="1">
        <v>3.947E-3</v>
      </c>
      <c r="E221" s="1" t="str">
        <f t="shared" si="0"/>
        <v>SPFIX</v>
      </c>
    </row>
    <row r="222" spans="1:5" ht="14.25" customHeight="1" x14ac:dyDescent="0.25">
      <c r="A222" s="3">
        <v>42521</v>
      </c>
      <c r="B222" s="1">
        <v>6981</v>
      </c>
      <c r="C222" s="1">
        <v>131.30000000000001</v>
      </c>
      <c r="D222" s="1">
        <v>1.6952999999999999E-2</v>
      </c>
      <c r="E222" s="1" t="str">
        <f t="shared" si="0"/>
        <v>SPFIX</v>
      </c>
    </row>
    <row r="223" spans="1:5" ht="14.25" customHeight="1" x14ac:dyDescent="0.25">
      <c r="A223" s="3">
        <v>42551</v>
      </c>
      <c r="B223" s="1">
        <v>6981</v>
      </c>
      <c r="C223" s="1">
        <v>131.19999999999999</v>
      </c>
      <c r="D223" s="1">
        <v>2.3410000000000002E-3</v>
      </c>
      <c r="E223" s="1" t="str">
        <f t="shared" si="0"/>
        <v>SPFIX</v>
      </c>
    </row>
    <row r="224" spans="1:5" ht="14.25" customHeight="1" x14ac:dyDescent="0.25">
      <c r="A224" s="3">
        <v>42580</v>
      </c>
      <c r="B224" s="1">
        <v>6981</v>
      </c>
      <c r="C224" s="1">
        <v>135.6</v>
      </c>
      <c r="D224" s="1">
        <v>3.6319999999999998E-2</v>
      </c>
      <c r="E224" s="1" t="str">
        <f t="shared" si="0"/>
        <v>SPFIX</v>
      </c>
    </row>
    <row r="225" spans="1:5" ht="14.25" customHeight="1" x14ac:dyDescent="0.25">
      <c r="A225" s="3">
        <v>42613</v>
      </c>
      <c r="B225" s="1">
        <v>6981</v>
      </c>
      <c r="C225" s="1">
        <v>135.30000000000001</v>
      </c>
      <c r="D225" s="1">
        <v>1.402E-3</v>
      </c>
      <c r="E225" s="1" t="str">
        <f t="shared" si="0"/>
        <v>SPFIX</v>
      </c>
    </row>
    <row r="226" spans="1:5" ht="14.25" customHeight="1" x14ac:dyDescent="0.25">
      <c r="A226" s="3">
        <v>42643</v>
      </c>
      <c r="B226" s="1">
        <v>6981</v>
      </c>
      <c r="C226" s="1">
        <v>134.9</v>
      </c>
      <c r="D226" s="1">
        <v>-7.7499999999999997E-4</v>
      </c>
      <c r="E226" s="1" t="str">
        <f t="shared" si="0"/>
        <v>SPFIX</v>
      </c>
    </row>
    <row r="227" spans="1:5" ht="14.25" customHeight="1" x14ac:dyDescent="0.25">
      <c r="A227" s="3">
        <v>42674</v>
      </c>
      <c r="B227" s="1">
        <v>6981</v>
      </c>
      <c r="C227" s="1">
        <v>133</v>
      </c>
      <c r="D227" s="1">
        <v>-1.7625999999999999E-2</v>
      </c>
      <c r="E227" s="1" t="str">
        <f t="shared" si="0"/>
        <v>SPFIX</v>
      </c>
    </row>
    <row r="228" spans="1:5" ht="14.25" customHeight="1" x14ac:dyDescent="0.25">
      <c r="A228" s="3">
        <v>42704</v>
      </c>
      <c r="B228" s="1">
        <v>6981</v>
      </c>
      <c r="C228" s="1">
        <v>137.1</v>
      </c>
      <c r="D228" s="1">
        <v>3.8762999999999999E-2</v>
      </c>
      <c r="E228" s="1" t="str">
        <f t="shared" si="0"/>
        <v>SPFIX</v>
      </c>
    </row>
    <row r="229" spans="1:5" ht="14.25" customHeight="1" x14ac:dyDescent="0.25">
      <c r="A229" s="3">
        <v>42734</v>
      </c>
      <c r="B229" s="1">
        <v>6981</v>
      </c>
      <c r="C229" s="1">
        <v>141</v>
      </c>
      <c r="D229" s="1">
        <v>1.5356E-2</v>
      </c>
      <c r="E229" s="1" t="str">
        <f t="shared" si="0"/>
        <v>SPFIX</v>
      </c>
    </row>
    <row r="230" spans="1:5" ht="14.25" customHeight="1" x14ac:dyDescent="0.25">
      <c r="A230" s="3">
        <v>42766</v>
      </c>
      <c r="B230" s="1">
        <v>6981</v>
      </c>
      <c r="C230" s="1">
        <v>144.1</v>
      </c>
      <c r="D230" s="1">
        <v>1.7186E-2</v>
      </c>
      <c r="E230" s="1" t="str">
        <f t="shared" si="0"/>
        <v>SPFIX</v>
      </c>
    </row>
    <row r="231" spans="1:5" ht="14.25" customHeight="1" x14ac:dyDescent="0.25">
      <c r="A231" s="3">
        <v>42794</v>
      </c>
      <c r="B231" s="1">
        <v>6981</v>
      </c>
      <c r="C231" s="1">
        <v>149.30000000000001</v>
      </c>
      <c r="D231" s="1">
        <v>3.9874E-2</v>
      </c>
      <c r="E231" s="1" t="str">
        <f t="shared" si="0"/>
        <v>SPFIX</v>
      </c>
    </row>
    <row r="232" spans="1:5" ht="14.25" customHeight="1" x14ac:dyDescent="0.25">
      <c r="A232" s="3">
        <v>42825</v>
      </c>
      <c r="B232" s="1">
        <v>6981</v>
      </c>
      <c r="C232" s="1">
        <v>149.19999999999999</v>
      </c>
      <c r="D232" s="1">
        <v>6.9999999999999999E-4</v>
      </c>
      <c r="E232" s="1" t="str">
        <f t="shared" si="0"/>
        <v>SPFIX</v>
      </c>
    </row>
    <row r="233" spans="1:5" ht="14.25" customHeight="1" x14ac:dyDescent="0.25">
      <c r="A233" s="3">
        <v>42853</v>
      </c>
      <c r="B233" s="1">
        <v>6981</v>
      </c>
      <c r="C233" s="1">
        <v>152</v>
      </c>
      <c r="D233" s="1">
        <v>9.9979999999999999E-3</v>
      </c>
      <c r="E233" s="1" t="str">
        <f t="shared" si="0"/>
        <v>SPFIX</v>
      </c>
    </row>
    <row r="234" spans="1:5" ht="14.25" customHeight="1" x14ac:dyDescent="0.25">
      <c r="A234" s="3">
        <v>42886</v>
      </c>
      <c r="B234" s="1">
        <v>6981</v>
      </c>
      <c r="C234" s="1">
        <v>155.1</v>
      </c>
      <c r="D234" s="1">
        <v>1.3772E-2</v>
      </c>
      <c r="E234" s="1" t="str">
        <f t="shared" si="0"/>
        <v>SPFIX</v>
      </c>
    </row>
    <row r="235" spans="1:5" ht="14.25" customHeight="1" x14ac:dyDescent="0.25">
      <c r="A235" s="3">
        <v>42916</v>
      </c>
      <c r="B235" s="1">
        <v>6981</v>
      </c>
      <c r="C235" s="1">
        <v>155.1</v>
      </c>
      <c r="D235" s="1">
        <v>6.058E-3</v>
      </c>
      <c r="E235" s="1" t="str">
        <f t="shared" si="0"/>
        <v>SPFIX</v>
      </c>
    </row>
    <row r="236" spans="1:5" ht="14.25" customHeight="1" x14ac:dyDescent="0.25">
      <c r="A236" s="3">
        <v>42947</v>
      </c>
      <c r="B236" s="1">
        <v>6981</v>
      </c>
      <c r="C236" s="1">
        <v>155.69999999999999</v>
      </c>
      <c r="D236" s="1">
        <v>1.9914999999999999E-2</v>
      </c>
      <c r="E236" s="1" t="str">
        <f t="shared" si="0"/>
        <v>SPFIX</v>
      </c>
    </row>
    <row r="237" spans="1:5" ht="14.25" customHeight="1" x14ac:dyDescent="0.25">
      <c r="A237" s="3">
        <v>42978</v>
      </c>
      <c r="B237" s="1">
        <v>6981</v>
      </c>
      <c r="C237" s="1">
        <v>155.19999999999999</v>
      </c>
      <c r="D237" s="1">
        <v>2.493E-3</v>
      </c>
      <c r="E237" s="1" t="str">
        <f t="shared" si="0"/>
        <v>SPFIX</v>
      </c>
    </row>
    <row r="238" spans="1:5" ht="14.25" customHeight="1" x14ac:dyDescent="0.25">
      <c r="A238" s="3">
        <v>43007</v>
      </c>
      <c r="B238" s="1">
        <v>6981</v>
      </c>
      <c r="C238" s="1">
        <v>156.4</v>
      </c>
      <c r="D238" s="1">
        <v>2.0778999999999999E-2</v>
      </c>
      <c r="E238" s="1" t="str">
        <f t="shared" si="0"/>
        <v>SPFIX</v>
      </c>
    </row>
    <row r="239" spans="1:5" ht="14.25" customHeight="1" x14ac:dyDescent="0.25">
      <c r="A239" s="3">
        <v>43039</v>
      </c>
      <c r="B239" s="1">
        <v>6981</v>
      </c>
      <c r="C239" s="1">
        <v>160.30000000000001</v>
      </c>
      <c r="D239" s="1">
        <v>2.3649E-2</v>
      </c>
      <c r="E239" s="1" t="str">
        <f t="shared" si="0"/>
        <v>SPFIX</v>
      </c>
    </row>
    <row r="240" spans="1:5" ht="14.25" customHeight="1" x14ac:dyDescent="0.25">
      <c r="A240" s="3">
        <v>43069</v>
      </c>
      <c r="B240" s="1">
        <v>6981</v>
      </c>
      <c r="C240" s="1">
        <v>163.5</v>
      </c>
      <c r="D240" s="1">
        <v>3.15E-2</v>
      </c>
      <c r="E240" s="1" t="str">
        <f t="shared" si="0"/>
        <v>SPFIX</v>
      </c>
    </row>
    <row r="241" spans="1:5" ht="14.25" customHeight="1" x14ac:dyDescent="0.25">
      <c r="A241" s="3">
        <v>43098</v>
      </c>
      <c r="B241" s="1">
        <v>6981</v>
      </c>
      <c r="C241" s="1">
        <v>167</v>
      </c>
      <c r="D241" s="1">
        <v>1.1455999999999999E-2</v>
      </c>
      <c r="E241" s="1" t="str">
        <f t="shared" si="0"/>
        <v>SPFIX</v>
      </c>
    </row>
    <row r="242" spans="1:5" ht="14.25" customHeight="1" x14ac:dyDescent="0.25">
      <c r="A242" s="3">
        <v>43131</v>
      </c>
      <c r="B242" s="1">
        <v>6981</v>
      </c>
      <c r="C242" s="1">
        <v>178.3</v>
      </c>
      <c r="D242" s="1">
        <v>5.7564999999999998E-2</v>
      </c>
      <c r="E242" s="1" t="str">
        <f t="shared" si="0"/>
        <v>SPFIX</v>
      </c>
    </row>
    <row r="243" spans="1:5" ht="14.25" customHeight="1" x14ac:dyDescent="0.25">
      <c r="A243" s="3">
        <v>43159</v>
      </c>
      <c r="B243" s="1">
        <v>6981</v>
      </c>
      <c r="C243" s="1">
        <v>172.3</v>
      </c>
      <c r="D243" s="1">
        <v>-3.6594000000000002E-2</v>
      </c>
      <c r="E243" s="1" t="str">
        <f t="shared" si="0"/>
        <v>SPFIX</v>
      </c>
    </row>
    <row r="244" spans="1:5" ht="14.25" customHeight="1" x14ac:dyDescent="0.25">
      <c r="A244" s="3">
        <v>43188</v>
      </c>
      <c r="B244" s="1">
        <v>6981</v>
      </c>
      <c r="C244" s="1">
        <v>167.1</v>
      </c>
      <c r="D244" s="1">
        <v>-2.6360000000000001E-2</v>
      </c>
      <c r="E244" s="1" t="str">
        <f t="shared" si="0"/>
        <v>SPFIX</v>
      </c>
    </row>
    <row r="245" spans="1:5" ht="14.25" customHeight="1" x14ac:dyDescent="0.25">
      <c r="A245" s="3">
        <v>43220</v>
      </c>
      <c r="B245" s="1">
        <v>6981</v>
      </c>
      <c r="C245" s="1">
        <v>167.8</v>
      </c>
      <c r="D245" s="1">
        <v>3.1480000000000002E-3</v>
      </c>
      <c r="E245" s="1" t="str">
        <f t="shared" si="0"/>
        <v>SPFIX</v>
      </c>
    </row>
    <row r="246" spans="1:5" ht="14.25" customHeight="1" x14ac:dyDescent="0.25">
      <c r="A246" s="3">
        <v>43251</v>
      </c>
      <c r="B246" s="1">
        <v>6981</v>
      </c>
      <c r="C246" s="1">
        <v>171.4</v>
      </c>
      <c r="D246" s="1">
        <v>2.3730000000000001E-2</v>
      </c>
      <c r="E246" s="1" t="str">
        <f t="shared" si="0"/>
        <v>SPFIX</v>
      </c>
    </row>
    <row r="247" spans="1:5" ht="14.25" customHeight="1" x14ac:dyDescent="0.25">
      <c r="A247" s="3">
        <v>43280</v>
      </c>
      <c r="B247" s="1">
        <v>6981</v>
      </c>
      <c r="C247" s="1">
        <v>171.1</v>
      </c>
      <c r="D247" s="1">
        <v>5.1089999999999998E-3</v>
      </c>
      <c r="E247" s="1" t="str">
        <f t="shared" si="0"/>
        <v>SPFIX</v>
      </c>
    </row>
    <row r="248" spans="1:5" ht="14.25" customHeight="1" x14ac:dyDescent="0.25">
      <c r="A248" s="3">
        <v>43312</v>
      </c>
      <c r="B248" s="1">
        <v>6981</v>
      </c>
      <c r="C248" s="1">
        <v>177.7</v>
      </c>
      <c r="D248" s="1">
        <v>3.8064000000000001E-2</v>
      </c>
      <c r="E248" s="1" t="str">
        <f t="shared" si="0"/>
        <v>SPFIX</v>
      </c>
    </row>
    <row r="249" spans="1:5" ht="14.25" customHeight="1" x14ac:dyDescent="0.25">
      <c r="A249" s="3">
        <v>43343</v>
      </c>
      <c r="B249" s="1">
        <v>6981</v>
      </c>
      <c r="C249" s="1">
        <v>182.3</v>
      </c>
      <c r="D249" s="1">
        <v>3.243E-2</v>
      </c>
      <c r="E249" s="1" t="str">
        <f t="shared" si="0"/>
        <v>SPFIX</v>
      </c>
    </row>
    <row r="250" spans="1:5" ht="14.25" customHeight="1" x14ac:dyDescent="0.25">
      <c r="A250" s="3">
        <v>43371</v>
      </c>
      <c r="B250" s="1">
        <v>6981</v>
      </c>
      <c r="C250" s="1">
        <v>182.1</v>
      </c>
      <c r="D250" s="1">
        <v>5.568E-3</v>
      </c>
      <c r="E250" s="1" t="str">
        <f t="shared" si="0"/>
        <v>SPFIX</v>
      </c>
    </row>
    <row r="251" spans="1:5" ht="14.25" customHeight="1" x14ac:dyDescent="0.25">
      <c r="A251" s="3">
        <v>43404</v>
      </c>
      <c r="B251" s="1">
        <v>6981</v>
      </c>
      <c r="C251" s="1">
        <v>170.5</v>
      </c>
      <c r="D251" s="1">
        <v>-6.8413000000000002E-2</v>
      </c>
      <c r="E251" s="1" t="str">
        <f t="shared" si="0"/>
        <v>SPFIX</v>
      </c>
    </row>
    <row r="252" spans="1:5" ht="14.25" customHeight="1" x14ac:dyDescent="0.25">
      <c r="A252" s="3">
        <v>43434</v>
      </c>
      <c r="B252" s="1">
        <v>6981</v>
      </c>
      <c r="C252" s="1">
        <v>172.6</v>
      </c>
      <c r="D252" s="1">
        <v>1.1474E-2</v>
      </c>
      <c r="E252" s="1" t="str">
        <f t="shared" si="0"/>
        <v>SPFIX</v>
      </c>
    </row>
    <row r="253" spans="1:5" ht="14.25" customHeight="1" x14ac:dyDescent="0.25">
      <c r="A253" s="3">
        <v>43465</v>
      </c>
      <c r="B253" s="1">
        <v>6981</v>
      </c>
      <c r="C253" s="1">
        <v>156.30000000000001</v>
      </c>
      <c r="D253" s="1">
        <v>-9.0440999999999994E-2</v>
      </c>
      <c r="E253" s="1" t="str">
        <f t="shared" si="0"/>
        <v>SPFIX</v>
      </c>
    </row>
    <row r="254" spans="1:5" ht="14.25" customHeight="1" x14ac:dyDescent="0.25">
      <c r="A254" s="3">
        <v>43496</v>
      </c>
      <c r="B254" s="1">
        <v>6981</v>
      </c>
      <c r="C254" s="1">
        <v>169.8</v>
      </c>
      <c r="D254" s="1">
        <v>7.9332E-2</v>
      </c>
      <c r="E254" s="1" t="str">
        <f t="shared" si="0"/>
        <v>SPFIX</v>
      </c>
    </row>
    <row r="255" spans="1:5" ht="14.25" customHeight="1" x14ac:dyDescent="0.25">
      <c r="A255" s="3">
        <v>43524</v>
      </c>
      <c r="B255" s="1">
        <v>6981</v>
      </c>
      <c r="C255" s="1">
        <v>175.7</v>
      </c>
      <c r="D255" s="1">
        <v>3.1914999999999999E-2</v>
      </c>
      <c r="E255" s="1" t="str">
        <f t="shared" si="0"/>
        <v>SPFIX</v>
      </c>
    </row>
    <row r="256" spans="1:5" ht="14.25" customHeight="1" x14ac:dyDescent="0.25">
      <c r="A256" s="3">
        <v>43553</v>
      </c>
      <c r="B256" s="1">
        <v>6981</v>
      </c>
      <c r="C256" s="1">
        <v>178.9</v>
      </c>
      <c r="D256" s="1">
        <v>1.8581E-2</v>
      </c>
      <c r="E256" s="1" t="str">
        <f t="shared" si="0"/>
        <v>SPFIX</v>
      </c>
    </row>
    <row r="257" spans="1:5" ht="14.25" customHeight="1" x14ac:dyDescent="0.25">
      <c r="A257" s="3">
        <v>43585</v>
      </c>
      <c r="B257" s="1">
        <v>6981</v>
      </c>
      <c r="C257" s="1">
        <v>186.9</v>
      </c>
      <c r="D257" s="1">
        <v>4.0864999999999999E-2</v>
      </c>
      <c r="E257" s="1" t="str">
        <f t="shared" ref="E257:E325" si="1">IF(B257=12663,"FGINX",IF(B257=4516,"PGWCX","SPFIX"))</f>
        <v>SPFIX</v>
      </c>
    </row>
    <row r="258" spans="1:5" ht="14.25" customHeight="1" x14ac:dyDescent="0.25">
      <c r="A258" s="3">
        <v>43616</v>
      </c>
      <c r="B258" s="1">
        <v>6981</v>
      </c>
      <c r="C258" s="1">
        <v>175.2</v>
      </c>
      <c r="D258" s="1">
        <v>-6.4310000000000006E-2</v>
      </c>
      <c r="E258" s="1" t="str">
        <f t="shared" si="1"/>
        <v>SPFIX</v>
      </c>
    </row>
    <row r="259" spans="1:5" ht="14.25" customHeight="1" x14ac:dyDescent="0.25">
      <c r="A259" s="3">
        <v>43644</v>
      </c>
      <c r="B259" s="1">
        <v>6981</v>
      </c>
      <c r="C259" s="1">
        <v>185.9</v>
      </c>
      <c r="D259" s="1">
        <v>7.0322999999999997E-2</v>
      </c>
      <c r="E259" s="1" t="str">
        <f t="shared" si="1"/>
        <v>SPFIX</v>
      </c>
    </row>
    <row r="260" spans="1:5" ht="14.25" customHeight="1" x14ac:dyDescent="0.25">
      <c r="A260" s="3">
        <v>43677</v>
      </c>
      <c r="B260" s="1">
        <v>6981</v>
      </c>
      <c r="C260" s="1">
        <v>188</v>
      </c>
      <c r="D260" s="1">
        <v>1.3886000000000001E-2</v>
      </c>
      <c r="E260" s="1" t="str">
        <f t="shared" si="1"/>
        <v>SPFIX</v>
      </c>
    </row>
    <row r="261" spans="1:5" ht="14.25" customHeight="1" x14ac:dyDescent="0.25">
      <c r="A261" s="3">
        <v>43707</v>
      </c>
      <c r="B261" s="1">
        <v>6981</v>
      </c>
      <c r="C261" s="1">
        <v>185.2</v>
      </c>
      <c r="D261" s="1">
        <v>-1.6681000000000001E-2</v>
      </c>
      <c r="E261" s="1" t="str">
        <f t="shared" si="1"/>
        <v>SPFIX</v>
      </c>
    </row>
    <row r="262" spans="1:5" ht="14.25" customHeight="1" x14ac:dyDescent="0.25">
      <c r="A262" s="3">
        <v>43738</v>
      </c>
      <c r="B262" s="1">
        <v>6981</v>
      </c>
      <c r="C262" s="1">
        <v>187.6</v>
      </c>
      <c r="D262" s="1">
        <v>1.8568000000000001E-2</v>
      </c>
      <c r="E262" s="1" t="str">
        <f t="shared" si="1"/>
        <v>SPFIX</v>
      </c>
    </row>
    <row r="263" spans="1:5" ht="14.25" customHeight="1" x14ac:dyDescent="0.25">
      <c r="A263" s="3">
        <v>43769</v>
      </c>
      <c r="B263" s="1">
        <v>6981</v>
      </c>
      <c r="C263" s="1">
        <v>192.1</v>
      </c>
      <c r="D263" s="1">
        <v>2.1682E-2</v>
      </c>
      <c r="E263" s="1" t="str">
        <f t="shared" si="1"/>
        <v>SPFIX</v>
      </c>
    </row>
    <row r="264" spans="1:5" ht="14.25" customHeight="1" x14ac:dyDescent="0.25">
      <c r="A264" s="3">
        <v>43798</v>
      </c>
      <c r="B264" s="1">
        <v>6981</v>
      </c>
      <c r="C264" s="1">
        <v>184.5</v>
      </c>
      <c r="D264" s="1">
        <v>3.6228000000000003E-2</v>
      </c>
      <c r="E264" s="1" t="str">
        <f t="shared" si="1"/>
        <v>SPFIX</v>
      </c>
    </row>
    <row r="265" spans="1:5" ht="14.25" customHeight="1" x14ac:dyDescent="0.25">
      <c r="A265" s="3">
        <v>43830</v>
      </c>
      <c r="B265" s="1">
        <v>6981</v>
      </c>
      <c r="C265" s="1">
        <v>186.7</v>
      </c>
      <c r="D265" s="1">
        <v>2.9530000000000001E-2</v>
      </c>
      <c r="E265" s="1" t="str">
        <f t="shared" si="1"/>
        <v>SPFIX</v>
      </c>
    </row>
    <row r="266" spans="1:5" ht="14.25" customHeight="1" x14ac:dyDescent="0.25">
      <c r="A266" s="3">
        <v>43861</v>
      </c>
      <c r="B266" s="1">
        <v>6981</v>
      </c>
      <c r="C266" s="1">
        <v>187.8</v>
      </c>
      <c r="D266" s="1">
        <v>-1.0480000000000001E-3</v>
      </c>
      <c r="E266" s="1" t="str">
        <f t="shared" si="1"/>
        <v>SPFIX</v>
      </c>
    </row>
    <row r="267" spans="1:5" ht="14.25" customHeight="1" x14ac:dyDescent="0.25">
      <c r="A267" s="3">
        <v>43889</v>
      </c>
      <c r="B267" s="1">
        <v>6981</v>
      </c>
      <c r="C267" s="1">
        <v>168.3</v>
      </c>
      <c r="D267" s="1">
        <v>-8.2721000000000003E-2</v>
      </c>
      <c r="E267" s="1" t="str">
        <f t="shared" si="1"/>
        <v>SPFIX</v>
      </c>
    </row>
    <row r="268" spans="1:5" ht="14.25" customHeight="1" x14ac:dyDescent="0.25">
      <c r="A268" s="3">
        <v>43921</v>
      </c>
      <c r="B268" s="1">
        <v>6981</v>
      </c>
      <c r="C268" s="1">
        <v>145.6</v>
      </c>
      <c r="D268" s="1">
        <v>-0.124194</v>
      </c>
      <c r="E268" s="1" t="str">
        <f t="shared" si="1"/>
        <v>SPFIX</v>
      </c>
    </row>
    <row r="269" spans="1:5" ht="14.25" customHeight="1" x14ac:dyDescent="0.25">
      <c r="A269" s="3">
        <v>43951</v>
      </c>
      <c r="B269" s="1">
        <v>6981</v>
      </c>
      <c r="C269" s="1">
        <v>165.4</v>
      </c>
      <c r="D269" s="1">
        <v>0.12795300000000001</v>
      </c>
      <c r="E269" s="1" t="str">
        <f t="shared" si="1"/>
        <v>SPFIX</v>
      </c>
    </row>
    <row r="270" spans="1:5" ht="14.25" customHeight="1" x14ac:dyDescent="0.25">
      <c r="A270" s="3">
        <v>43980</v>
      </c>
      <c r="B270" s="1">
        <v>6981</v>
      </c>
      <c r="C270" s="1">
        <v>171.6</v>
      </c>
      <c r="D270" s="1">
        <v>4.7314000000000002E-2</v>
      </c>
      <c r="E270" s="1" t="str">
        <f t="shared" si="1"/>
        <v>SPFIX</v>
      </c>
    </row>
    <row r="271" spans="1:5" ht="14.25" customHeight="1" x14ac:dyDescent="0.25">
      <c r="A271" s="3">
        <v>44012</v>
      </c>
      <c r="B271" s="1">
        <v>6981</v>
      </c>
      <c r="C271" s="1">
        <v>176.9</v>
      </c>
      <c r="D271" s="1">
        <v>1.968E-2</v>
      </c>
      <c r="E271" s="1" t="str">
        <f t="shared" si="1"/>
        <v>SPFIX</v>
      </c>
    </row>
    <row r="272" spans="1:5" ht="14.25" customHeight="1" x14ac:dyDescent="0.25">
      <c r="A272" s="3">
        <v>44043</v>
      </c>
      <c r="B272" s="1">
        <v>6981</v>
      </c>
      <c r="C272" s="1">
        <v>184.3</v>
      </c>
      <c r="D272" s="1">
        <v>5.5858999999999999E-2</v>
      </c>
      <c r="E272" s="1" t="str">
        <f t="shared" si="1"/>
        <v>SPFIX</v>
      </c>
    </row>
    <row r="273" spans="1:5" ht="14.25" customHeight="1" x14ac:dyDescent="0.25">
      <c r="A273" s="3">
        <v>44074</v>
      </c>
      <c r="B273" s="1">
        <v>6981</v>
      </c>
      <c r="C273" s="1">
        <v>196.1</v>
      </c>
      <c r="D273" s="1">
        <v>7.1687000000000001E-2</v>
      </c>
      <c r="E273" s="1" t="str">
        <f t="shared" si="1"/>
        <v>SPFIX</v>
      </c>
    </row>
    <row r="274" spans="1:5" ht="14.25" customHeight="1" x14ac:dyDescent="0.25">
      <c r="A274" s="3">
        <v>44104</v>
      </c>
      <c r="B274" s="1">
        <v>6981</v>
      </c>
      <c r="C274" s="1">
        <v>184.8</v>
      </c>
      <c r="D274" s="1">
        <v>-3.9073999999999998E-2</v>
      </c>
      <c r="E274" s="1" t="str">
        <f t="shared" si="1"/>
        <v>SPFIX</v>
      </c>
    </row>
    <row r="275" spans="1:5" ht="14.25" customHeight="1" x14ac:dyDescent="0.25">
      <c r="A275" s="3">
        <v>44134</v>
      </c>
      <c r="B275" s="1">
        <v>6981</v>
      </c>
      <c r="C275" s="1">
        <v>179.9</v>
      </c>
      <c r="D275" s="1">
        <v>-3.0120000000000001E-2</v>
      </c>
      <c r="E275" s="1" t="str">
        <f t="shared" si="1"/>
        <v>SPFIX</v>
      </c>
    </row>
    <row r="276" spans="1:5" ht="14.25" customHeight="1" x14ac:dyDescent="0.25">
      <c r="A276" s="3">
        <v>44165</v>
      </c>
      <c r="B276" s="1">
        <v>6981</v>
      </c>
      <c r="C276" s="1">
        <v>187.1</v>
      </c>
      <c r="D276" s="1">
        <v>0.10935599999999999</v>
      </c>
      <c r="E276" s="1" t="str">
        <f t="shared" si="1"/>
        <v>SPFIX</v>
      </c>
    </row>
    <row r="277" spans="1:5" ht="14.25" customHeight="1" x14ac:dyDescent="0.25">
      <c r="A277" s="3">
        <v>44196</v>
      </c>
      <c r="B277" s="1">
        <v>6981</v>
      </c>
      <c r="C277" s="1">
        <v>204.8</v>
      </c>
      <c r="D277" s="1">
        <v>3.8225000000000002E-2</v>
      </c>
      <c r="E277" s="1" t="str">
        <f t="shared" si="1"/>
        <v>SPFIX</v>
      </c>
    </row>
    <row r="278" spans="1:5" ht="14.25" customHeight="1" x14ac:dyDescent="0.25">
      <c r="A278" s="3">
        <v>44225</v>
      </c>
      <c r="B278" s="1">
        <v>6981</v>
      </c>
      <c r="C278" s="1">
        <v>202.4</v>
      </c>
      <c r="D278" s="1">
        <v>-1.0655E-2</v>
      </c>
      <c r="E278" s="1" t="str">
        <f t="shared" si="1"/>
        <v>SPFIX</v>
      </c>
    </row>
    <row r="279" spans="1:5" ht="14.25" customHeight="1" x14ac:dyDescent="0.25">
      <c r="A279" s="3">
        <v>44253</v>
      </c>
      <c r="B279" s="1">
        <v>6981</v>
      </c>
      <c r="C279" s="1">
        <v>206.8</v>
      </c>
      <c r="D279" s="1">
        <v>2.7088999999999998E-2</v>
      </c>
      <c r="E279" s="1" t="str">
        <f t="shared" si="1"/>
        <v>SPFIX</v>
      </c>
    </row>
    <row r="280" spans="1:5" ht="14.25" customHeight="1" x14ac:dyDescent="0.25">
      <c r="A280" s="3">
        <v>44286</v>
      </c>
      <c r="B280" s="1">
        <v>6981</v>
      </c>
      <c r="C280" s="1">
        <v>215.1</v>
      </c>
      <c r="D280" s="1">
        <v>4.3491000000000002E-2</v>
      </c>
      <c r="E280" s="1" t="str">
        <f t="shared" si="1"/>
        <v>SPFIX</v>
      </c>
    </row>
    <row r="281" spans="1:5" ht="14.25" customHeight="1" x14ac:dyDescent="0.25">
      <c r="A281" s="3">
        <v>44316</v>
      </c>
      <c r="B281" s="1">
        <v>6981</v>
      </c>
      <c r="C281" s="1">
        <v>227.9</v>
      </c>
      <c r="D281" s="1">
        <v>5.3274000000000002E-2</v>
      </c>
      <c r="E281" s="1" t="str">
        <f t="shared" si="1"/>
        <v>SPFIX</v>
      </c>
    </row>
    <row r="282" spans="1:5" ht="14.25" customHeight="1" x14ac:dyDescent="0.25">
      <c r="A282" s="3">
        <v>44344</v>
      </c>
      <c r="B282" s="1">
        <v>6981</v>
      </c>
      <c r="C282" s="1">
        <v>228.6</v>
      </c>
      <c r="D282" s="1">
        <v>6.6670000000000002E-3</v>
      </c>
      <c r="E282" s="1" t="str">
        <f t="shared" si="1"/>
        <v>SPFIX</v>
      </c>
    </row>
    <row r="283" spans="1:5" ht="14.25" customHeight="1" x14ac:dyDescent="0.25">
      <c r="A283" s="3">
        <v>44377</v>
      </c>
      <c r="B283" s="1">
        <v>6981</v>
      </c>
      <c r="C283" s="1">
        <v>232.1</v>
      </c>
      <c r="D283" s="1">
        <v>2.2813E-2</v>
      </c>
      <c r="E283" s="1" t="str">
        <f t="shared" si="1"/>
        <v>SPFIX</v>
      </c>
    </row>
    <row r="284" spans="1:5" ht="14.25" customHeight="1" x14ac:dyDescent="0.25">
      <c r="A284" s="3">
        <v>44407</v>
      </c>
      <c r="B284" s="1">
        <v>6981</v>
      </c>
      <c r="C284" s="1">
        <v>236.6</v>
      </c>
      <c r="D284" s="1">
        <v>2.3140999999999998E-2</v>
      </c>
      <c r="E284" s="1" t="str">
        <f t="shared" si="1"/>
        <v>SPFIX</v>
      </c>
    </row>
    <row r="285" spans="1:5" ht="14.25" customHeight="1" x14ac:dyDescent="0.25">
      <c r="A285" s="3">
        <v>44439</v>
      </c>
      <c r="B285" s="1">
        <v>6981</v>
      </c>
      <c r="C285" s="1">
        <v>243.5</v>
      </c>
      <c r="D285" s="1">
        <v>2.9789E-2</v>
      </c>
      <c r="E285" s="1" t="str">
        <f t="shared" si="1"/>
        <v>SPFIX</v>
      </c>
    </row>
    <row r="286" spans="1:5" ht="14.25" customHeight="1" x14ac:dyDescent="0.25">
      <c r="A286" s="3">
        <v>44469</v>
      </c>
      <c r="B286" s="1">
        <v>6981</v>
      </c>
      <c r="C286" s="1">
        <v>231.3</v>
      </c>
      <c r="D286" s="1">
        <v>-4.6993E-2</v>
      </c>
      <c r="E286" s="1" t="str">
        <f t="shared" si="1"/>
        <v>SPFIX</v>
      </c>
    </row>
    <row r="287" spans="1:5" ht="14.25" customHeight="1" x14ac:dyDescent="0.25">
      <c r="A287" s="3">
        <v>44498</v>
      </c>
      <c r="B287" s="1">
        <v>6981</v>
      </c>
      <c r="C287" s="1">
        <v>247.9</v>
      </c>
      <c r="D287" s="1">
        <v>6.9597000000000006E-2</v>
      </c>
      <c r="E287" s="1" t="str">
        <f t="shared" si="1"/>
        <v>SPFIX</v>
      </c>
    </row>
    <row r="288" spans="1:5" ht="14.25" customHeight="1" x14ac:dyDescent="0.25">
      <c r="A288" s="3">
        <v>44530</v>
      </c>
      <c r="B288" s="1">
        <v>6981</v>
      </c>
      <c r="C288" s="1">
        <v>234.5</v>
      </c>
      <c r="D288" s="1">
        <v>-7.2649999999999998E-3</v>
      </c>
      <c r="E288" s="1" t="str">
        <f t="shared" si="1"/>
        <v>SPFIX</v>
      </c>
    </row>
    <row r="289" spans="1:5" ht="14.25" customHeight="1" x14ac:dyDescent="0.25">
      <c r="A289" s="3">
        <v>44561</v>
      </c>
      <c r="B289" s="1">
        <v>6981</v>
      </c>
      <c r="C289" s="1">
        <v>254.7</v>
      </c>
      <c r="D289" s="1">
        <v>4.4867999999999998E-2</v>
      </c>
      <c r="E289" s="1" t="str">
        <f t="shared" si="1"/>
        <v>SPFIX</v>
      </c>
    </row>
    <row r="290" spans="1:5" ht="14.25" customHeight="1" x14ac:dyDescent="0.25">
      <c r="A290" s="3">
        <v>44592</v>
      </c>
      <c r="B290" s="1">
        <v>6981</v>
      </c>
      <c r="C290" s="1">
        <v>241.7</v>
      </c>
      <c r="D290" s="1">
        <v>-5.1832000000000003E-2</v>
      </c>
      <c r="E290" s="1" t="str">
        <f t="shared" si="1"/>
        <v>SPFIX</v>
      </c>
    </row>
    <row r="291" spans="1:5" ht="14.25" customHeight="1" x14ac:dyDescent="0.25">
      <c r="A291" s="3">
        <v>44620</v>
      </c>
      <c r="B291" s="1">
        <v>6981</v>
      </c>
      <c r="C291" s="1">
        <v>233.1</v>
      </c>
      <c r="D291" s="1">
        <v>-3.0072999999999999E-2</v>
      </c>
      <c r="E291" s="1" t="str">
        <f t="shared" si="1"/>
        <v>SPFIX</v>
      </c>
    </row>
    <row r="292" spans="1:5" ht="14.25" customHeight="1" x14ac:dyDescent="0.25">
      <c r="A292" s="3">
        <v>44651</v>
      </c>
      <c r="B292" s="1">
        <v>6981</v>
      </c>
      <c r="C292" s="1">
        <v>241.4</v>
      </c>
      <c r="D292" s="1">
        <v>3.6391E-2</v>
      </c>
      <c r="E292" s="1" t="str">
        <f t="shared" si="1"/>
        <v>SPFIX</v>
      </c>
    </row>
    <row r="293" spans="1:5" ht="14.25" customHeight="1" x14ac:dyDescent="0.25">
      <c r="A293" s="3">
        <v>44680</v>
      </c>
      <c r="B293" s="1">
        <v>6981</v>
      </c>
      <c r="C293" s="1">
        <v>220.6</v>
      </c>
      <c r="D293" s="1">
        <v>-8.7481000000000003E-2</v>
      </c>
      <c r="E293" s="1" t="str">
        <f t="shared" si="1"/>
        <v>SPFIX</v>
      </c>
    </row>
    <row r="294" spans="1:5" ht="14.25" customHeight="1" x14ac:dyDescent="0.25">
      <c r="A294" s="3">
        <v>44712</v>
      </c>
      <c r="B294" s="1">
        <v>6981</v>
      </c>
      <c r="C294" s="1">
        <v>220.1</v>
      </c>
      <c r="D294" s="1">
        <v>1.2290000000000001E-3</v>
      </c>
      <c r="E294" s="1" t="str">
        <f t="shared" si="1"/>
        <v>SPFIX</v>
      </c>
    </row>
    <row r="295" spans="1:5" ht="14.25" customHeight="1" x14ac:dyDescent="0.25">
      <c r="A295" s="3">
        <v>44742</v>
      </c>
      <c r="B295" s="1">
        <v>6981</v>
      </c>
      <c r="C295" s="1">
        <v>199.3</v>
      </c>
      <c r="D295" s="1">
        <v>-8.2230999999999999E-2</v>
      </c>
      <c r="E295" s="1" t="str">
        <f t="shared" si="1"/>
        <v>SPFIX</v>
      </c>
    </row>
    <row r="296" spans="1:5" ht="14.25" customHeight="1" x14ac:dyDescent="0.25">
      <c r="A296" s="3">
        <v>44771</v>
      </c>
      <c r="B296" s="1">
        <v>6981</v>
      </c>
      <c r="C296" s="1">
        <v>218.1</v>
      </c>
      <c r="D296" s="1">
        <v>9.1762999999999997E-2</v>
      </c>
      <c r="E296" s="1" t="str">
        <f t="shared" si="1"/>
        <v>SPFIX</v>
      </c>
    </row>
    <row r="297" spans="1:5" ht="14.25" customHeight="1" x14ac:dyDescent="0.25">
      <c r="A297" s="3">
        <v>44804</v>
      </c>
      <c r="B297" s="1">
        <v>6981</v>
      </c>
      <c r="C297" s="1">
        <v>208.3</v>
      </c>
      <c r="D297" s="1">
        <v>-4.1180000000000001E-2</v>
      </c>
      <c r="E297" s="1" t="str">
        <f t="shared" si="1"/>
        <v>SPFIX</v>
      </c>
    </row>
    <row r="298" spans="1:5" ht="14.25" customHeight="1" x14ac:dyDescent="0.25">
      <c r="A298" s="3">
        <v>44834</v>
      </c>
      <c r="B298" s="1">
        <v>6981</v>
      </c>
      <c r="C298" s="1">
        <v>188.1</v>
      </c>
      <c r="D298" s="1">
        <v>-9.2308000000000001E-2</v>
      </c>
      <c r="E298" s="1" t="str">
        <f t="shared" si="1"/>
        <v>SPFIX</v>
      </c>
    </row>
    <row r="299" spans="1:5" ht="14.25" customHeight="1" x14ac:dyDescent="0.25">
      <c r="A299" s="3">
        <v>44865</v>
      </c>
      <c r="B299" s="1">
        <v>6981</v>
      </c>
      <c r="C299" s="1">
        <v>203.1</v>
      </c>
      <c r="D299" s="1">
        <v>8.1176999999999999E-2</v>
      </c>
      <c r="E299" s="1" t="str">
        <f t="shared" si="1"/>
        <v>SPFIX</v>
      </c>
    </row>
    <row r="300" spans="1:5" ht="14.25" customHeight="1" x14ac:dyDescent="0.25">
      <c r="A300" s="3">
        <v>44895</v>
      </c>
      <c r="B300" s="1">
        <v>6981</v>
      </c>
      <c r="C300" s="1">
        <v>206.5</v>
      </c>
      <c r="D300" s="1">
        <v>5.5896000000000001E-2</v>
      </c>
      <c r="E300" s="1" t="str">
        <f t="shared" si="1"/>
        <v>SPFIX</v>
      </c>
    </row>
    <row r="301" spans="1:5" ht="14.25" customHeight="1" x14ac:dyDescent="0.25">
      <c r="A301" s="3">
        <v>44925</v>
      </c>
      <c r="B301" s="1">
        <v>6981</v>
      </c>
      <c r="C301" s="1">
        <v>199</v>
      </c>
      <c r="D301" s="1">
        <v>-5.7569000000000002E-2</v>
      </c>
      <c r="E301" s="1" t="str">
        <f t="shared" si="1"/>
        <v>SPFIX</v>
      </c>
    </row>
    <row r="302" spans="1:5" ht="14.25" customHeight="1" x14ac:dyDescent="0.25">
      <c r="A302" s="3">
        <v>44957</v>
      </c>
      <c r="B302" s="1">
        <v>6981</v>
      </c>
      <c r="C302" s="1">
        <v>211.1</v>
      </c>
      <c r="D302" s="1">
        <v>6.2756000000000006E-2</v>
      </c>
      <c r="E302" s="1" t="str">
        <f t="shared" si="1"/>
        <v>SPFIX</v>
      </c>
    </row>
    <row r="303" spans="1:5" ht="14.25" customHeight="1" x14ac:dyDescent="0.25">
      <c r="A303" s="3">
        <v>44985</v>
      </c>
      <c r="B303" s="1">
        <v>6981</v>
      </c>
      <c r="C303" s="1">
        <v>205.7</v>
      </c>
      <c r="D303" s="1">
        <v>-2.494E-2</v>
      </c>
      <c r="E303" s="1" t="str">
        <f t="shared" si="1"/>
        <v>SPFIX</v>
      </c>
    </row>
    <row r="304" spans="1:5" ht="14.25" customHeight="1" x14ac:dyDescent="0.25">
      <c r="A304" s="3">
        <v>45016</v>
      </c>
      <c r="B304" s="1">
        <v>6981</v>
      </c>
      <c r="C304" s="1">
        <v>211.2</v>
      </c>
      <c r="D304" s="1">
        <v>3.6283999999999997E-2</v>
      </c>
      <c r="E304" s="1" t="str">
        <f t="shared" si="1"/>
        <v>SPFIX</v>
      </c>
    </row>
    <row r="305" spans="1:5" ht="14.25" customHeight="1" x14ac:dyDescent="0.25">
      <c r="A305" s="3">
        <v>45044</v>
      </c>
      <c r="B305" s="1">
        <v>6981</v>
      </c>
      <c r="C305" s="1">
        <v>215.3</v>
      </c>
      <c r="D305" s="1">
        <v>1.5021E-2</v>
      </c>
      <c r="E305" s="1" t="str">
        <f t="shared" si="1"/>
        <v>SPFIX</v>
      </c>
    </row>
    <row r="306" spans="1:5" ht="14.25" customHeight="1" x14ac:dyDescent="0.25">
      <c r="A306" s="3">
        <v>45077</v>
      </c>
      <c r="B306" s="1">
        <v>6981</v>
      </c>
      <c r="C306" s="1">
        <v>215.5</v>
      </c>
      <c r="D306" s="1">
        <v>3.6210000000000001E-3</v>
      </c>
      <c r="E306" s="1" t="str">
        <f t="shared" si="1"/>
        <v>SPFIX</v>
      </c>
    </row>
    <row r="307" spans="1:5" ht="14.25" customHeight="1" x14ac:dyDescent="0.25">
      <c r="A307" s="3">
        <v>45107</v>
      </c>
      <c r="B307" s="1">
        <v>6981</v>
      </c>
      <c r="C307" s="1">
        <v>229.6</v>
      </c>
      <c r="D307" s="1">
        <v>6.5662999999999999E-2</v>
      </c>
      <c r="E307" s="1" t="str">
        <f t="shared" si="1"/>
        <v>SPFIX</v>
      </c>
    </row>
    <row r="308" spans="1:5" ht="14.25" customHeight="1" x14ac:dyDescent="0.25">
      <c r="A308" s="3">
        <v>45138</v>
      </c>
      <c r="B308" s="1">
        <v>6981</v>
      </c>
      <c r="C308" s="1">
        <v>236</v>
      </c>
      <c r="D308" s="1">
        <v>3.1753000000000003E-2</v>
      </c>
      <c r="E308" s="1" t="str">
        <f t="shared" si="1"/>
        <v>SPFIX</v>
      </c>
    </row>
    <row r="309" spans="1:5" ht="14.25" customHeight="1" x14ac:dyDescent="0.25">
      <c r="A309" s="3">
        <v>45169</v>
      </c>
      <c r="B309" s="1">
        <v>6981</v>
      </c>
      <c r="C309" s="1">
        <v>228.1</v>
      </c>
      <c r="D309" s="1">
        <v>-1.6317999999999999E-2</v>
      </c>
      <c r="E309" s="1" t="str">
        <f t="shared" si="1"/>
        <v>SPFIX</v>
      </c>
    </row>
    <row r="310" spans="1:5" ht="14.25" customHeight="1" x14ac:dyDescent="0.25">
      <c r="A310" s="3">
        <v>45198</v>
      </c>
      <c r="B310" s="1">
        <v>6981</v>
      </c>
      <c r="C310" s="1">
        <v>216.4</v>
      </c>
      <c r="D310" s="1">
        <v>-4.7718000000000003E-2</v>
      </c>
      <c r="E310" s="1" t="str">
        <f t="shared" si="1"/>
        <v>SPFIX</v>
      </c>
    </row>
    <row r="311" spans="1:5" ht="14.25" customHeight="1" x14ac:dyDescent="0.25">
      <c r="A311" s="3">
        <v>45230</v>
      </c>
      <c r="B311" s="1">
        <v>6981</v>
      </c>
      <c r="C311" s="1">
        <v>212</v>
      </c>
      <c r="D311" s="1">
        <v>-2.0999E-2</v>
      </c>
      <c r="E311" s="1" t="str">
        <f t="shared" si="1"/>
        <v>SPFIX</v>
      </c>
    </row>
    <row r="312" spans="1:5" ht="14.25" customHeight="1" x14ac:dyDescent="0.25">
      <c r="A312" s="3">
        <v>45260</v>
      </c>
      <c r="B312" s="1">
        <v>6981</v>
      </c>
      <c r="C312" s="1">
        <v>213.7</v>
      </c>
      <c r="D312" s="1">
        <v>9.0915999999999997E-2</v>
      </c>
      <c r="E312" s="1" t="str">
        <f t="shared" si="1"/>
        <v>SPFIX</v>
      </c>
    </row>
    <row r="313" spans="1:5" ht="14.25" customHeight="1" x14ac:dyDescent="0.25">
      <c r="A313" s="3">
        <v>45289</v>
      </c>
      <c r="B313" s="1">
        <v>6981</v>
      </c>
      <c r="C313" s="1">
        <v>235.8</v>
      </c>
      <c r="D313" s="1">
        <v>4.4941000000000002E-2</v>
      </c>
      <c r="E313" s="1" t="str">
        <f t="shared" si="1"/>
        <v>SPFIX</v>
      </c>
    </row>
    <row r="314" spans="1:5" ht="14.25" customHeight="1" x14ac:dyDescent="0.25">
      <c r="A314" s="3">
        <v>45322</v>
      </c>
      <c r="B314" s="1">
        <v>6981</v>
      </c>
      <c r="C314" s="1">
        <v>239.8</v>
      </c>
      <c r="D314" s="1">
        <v>1.6417999999999999E-2</v>
      </c>
      <c r="E314" s="1" t="str">
        <f t="shared" si="1"/>
        <v>SPFIX</v>
      </c>
    </row>
    <row r="315" spans="1:5" ht="14.25" customHeight="1" x14ac:dyDescent="0.25">
      <c r="A315" s="3">
        <v>45351</v>
      </c>
      <c r="B315" s="1">
        <v>6981</v>
      </c>
      <c r="C315" s="1">
        <v>252.5</v>
      </c>
      <c r="D315" s="1">
        <v>5.3114000000000001E-2</v>
      </c>
      <c r="E315" s="1" t="str">
        <f t="shared" si="1"/>
        <v>SPFIX</v>
      </c>
    </row>
    <row r="316" spans="1:5" ht="14.25" customHeight="1" x14ac:dyDescent="0.25">
      <c r="A316" s="3">
        <v>45379</v>
      </c>
      <c r="B316" s="1">
        <v>6981</v>
      </c>
      <c r="C316" s="1">
        <v>261.39999999999998</v>
      </c>
      <c r="D316" s="1">
        <v>3.2015000000000002E-2</v>
      </c>
      <c r="E316" s="1" t="str">
        <f t="shared" si="1"/>
        <v>SPFIX</v>
      </c>
    </row>
    <row r="317" spans="1:5" ht="14.25" customHeight="1" x14ac:dyDescent="0.25">
      <c r="A317" s="3">
        <v>45412</v>
      </c>
      <c r="B317" s="1">
        <v>6981</v>
      </c>
      <c r="C317" s="1">
        <v>251</v>
      </c>
      <c r="D317" s="1">
        <v>-4.1208000000000002E-2</v>
      </c>
      <c r="E317" s="1" t="str">
        <f t="shared" si="1"/>
        <v>SPFIX</v>
      </c>
    </row>
    <row r="318" spans="1:5" ht="14.25" customHeight="1" x14ac:dyDescent="0.25">
      <c r="A318" s="3">
        <v>45443</v>
      </c>
      <c r="B318" s="1">
        <v>6981</v>
      </c>
      <c r="C318" s="1">
        <v>262.89999999999998</v>
      </c>
      <c r="D318" s="1">
        <v>4.8999000000000001E-2</v>
      </c>
      <c r="E318" s="1" t="str">
        <f t="shared" si="1"/>
        <v>SPFIX</v>
      </c>
    </row>
    <row r="319" spans="1:5" ht="14.25" customHeight="1" x14ac:dyDescent="0.25">
      <c r="A319" s="3">
        <v>45471</v>
      </c>
      <c r="B319" s="1">
        <v>6981</v>
      </c>
      <c r="C319" s="1">
        <v>270.7</v>
      </c>
      <c r="D319" s="1">
        <v>3.5206000000000001E-2</v>
      </c>
      <c r="E319" s="1" t="str">
        <f t="shared" si="1"/>
        <v>SPFIX</v>
      </c>
    </row>
    <row r="320" spans="1:5" ht="14.25" customHeight="1" x14ac:dyDescent="0.25">
      <c r="A320" s="3">
        <v>45504</v>
      </c>
      <c r="B320" s="1">
        <v>6981</v>
      </c>
      <c r="C320" s="1">
        <v>273.5</v>
      </c>
      <c r="D320" s="1">
        <v>1.2017E-2</v>
      </c>
      <c r="E320" s="1" t="str">
        <f t="shared" si="1"/>
        <v>SPFIX</v>
      </c>
    </row>
    <row r="321" spans="1:5" ht="14.25" customHeight="1" x14ac:dyDescent="0.25">
      <c r="A321" s="3">
        <v>45534</v>
      </c>
      <c r="B321" s="1">
        <v>6981</v>
      </c>
      <c r="C321" s="1">
        <v>278.5</v>
      </c>
      <c r="D321" s="1">
        <v>2.3748999999999999E-2</v>
      </c>
      <c r="E321" s="1" t="str">
        <f t="shared" si="1"/>
        <v>SPFIX</v>
      </c>
    </row>
    <row r="322" spans="1:5" ht="14.25" customHeight="1" x14ac:dyDescent="0.25">
      <c r="A322" s="3">
        <v>45565</v>
      </c>
      <c r="B322" s="1">
        <v>6981</v>
      </c>
      <c r="C322" s="1">
        <v>283.3</v>
      </c>
      <c r="D322" s="1">
        <v>2.0954E-2</v>
      </c>
      <c r="E322" s="1" t="str">
        <f t="shared" si="1"/>
        <v>SPFIX</v>
      </c>
    </row>
    <row r="323" spans="1:5" ht="14.25" customHeight="1" x14ac:dyDescent="0.25">
      <c r="A323" s="3">
        <v>45596</v>
      </c>
      <c r="B323" s="1">
        <v>6981</v>
      </c>
      <c r="C323" s="1">
        <v>279.8</v>
      </c>
      <c r="D323" s="1">
        <v>-9.5510000000000005E-3</v>
      </c>
      <c r="E323" s="1" t="str">
        <f t="shared" si="1"/>
        <v>SPFIX</v>
      </c>
    </row>
    <row r="324" spans="1:5" ht="14.25" customHeight="1" x14ac:dyDescent="0.25">
      <c r="A324" s="3">
        <v>45625</v>
      </c>
      <c r="B324" s="1">
        <v>6981</v>
      </c>
      <c r="C324" s="1">
        <v>263.89999999999998</v>
      </c>
      <c r="D324" s="1">
        <v>5.8480999999999998E-2</v>
      </c>
      <c r="E324" s="1" t="str">
        <f t="shared" si="1"/>
        <v>SPFIX</v>
      </c>
    </row>
    <row r="325" spans="1:5" ht="14.25" customHeight="1" x14ac:dyDescent="0.25">
      <c r="A325" s="3">
        <v>45657</v>
      </c>
      <c r="B325" s="1">
        <v>6981</v>
      </c>
      <c r="C325" s="1">
        <v>282.8</v>
      </c>
      <c r="D325" s="1">
        <v>-2.4324999999999999E-2</v>
      </c>
      <c r="E325" s="1" t="str">
        <f t="shared" si="1"/>
        <v>SPFIX</v>
      </c>
    </row>
    <row r="326" spans="1:5" ht="14.25" customHeight="1" x14ac:dyDescent="0.25"/>
    <row r="327" spans="1:5" ht="14.25" customHeight="1" x14ac:dyDescent="0.25"/>
    <row r="328" spans="1:5" ht="14.25" customHeight="1" x14ac:dyDescent="0.25"/>
    <row r="329" spans="1:5" ht="14.25" customHeight="1" x14ac:dyDescent="0.25"/>
    <row r="330" spans="1:5" ht="14.25" customHeight="1" x14ac:dyDescent="0.25"/>
    <row r="331" spans="1:5" ht="14.25" customHeight="1" x14ac:dyDescent="0.25"/>
    <row r="332" spans="1:5" ht="14.25" customHeight="1" x14ac:dyDescent="0.25"/>
    <row r="333" spans="1:5" ht="14.25" customHeight="1" x14ac:dyDescent="0.25"/>
    <row r="334" spans="1:5" ht="14.25" customHeight="1" x14ac:dyDescent="0.25"/>
    <row r="335" spans="1:5" ht="14.25" customHeight="1" x14ac:dyDescent="0.25"/>
    <row r="336" spans="1:5"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zoomScale="84" workbookViewId="0">
      <selection activeCell="Q31" sqref="Q31"/>
    </sheetView>
  </sheetViews>
  <sheetFormatPr defaultColWidth="12.5703125" defaultRowHeight="15" customHeight="1" x14ac:dyDescent="0.25"/>
  <cols>
    <col min="1" max="4" width="8.5703125" customWidth="1"/>
    <col min="5" max="5" width="10.42578125" bestFit="1" customWidth="1"/>
    <col min="6" max="6" width="8.5703125" customWidth="1"/>
    <col min="8" max="25" width="8.5703125" customWidth="1"/>
  </cols>
  <sheetData>
    <row r="1" spans="1:6" ht="14.25" customHeight="1" x14ac:dyDescent="0.25">
      <c r="A1" s="1" t="s">
        <v>74</v>
      </c>
      <c r="B1" s="1" t="s">
        <v>75</v>
      </c>
      <c r="C1" s="1" t="s">
        <v>76</v>
      </c>
      <c r="D1" s="1" t="s">
        <v>77</v>
      </c>
      <c r="E1" s="1" t="s">
        <v>78</v>
      </c>
      <c r="F1" t="s">
        <v>113</v>
      </c>
    </row>
    <row r="2" spans="1:6" ht="14.25" customHeight="1" x14ac:dyDescent="0.25">
      <c r="A2" s="1">
        <v>1.5E-3</v>
      </c>
      <c r="B2" s="1">
        <v>-1.01E-2</v>
      </c>
      <c r="C2" s="1">
        <v>-1.6799999999999999E-2</v>
      </c>
      <c r="D2" s="1">
        <v>4.3E-3</v>
      </c>
      <c r="E2" s="3">
        <v>35825</v>
      </c>
      <c r="F2">
        <v>5.0000000000000001E-4</v>
      </c>
    </row>
    <row r="3" spans="1:6" ht="14.25" customHeight="1" x14ac:dyDescent="0.25">
      <c r="A3" s="1">
        <v>7.0300000000000001E-2</v>
      </c>
      <c r="B3" s="1">
        <v>1.2999999999999999E-3</v>
      </c>
      <c r="C3" s="1">
        <v>-9.2999999999999992E-3</v>
      </c>
      <c r="D3" s="1">
        <v>3.8999999999999998E-3</v>
      </c>
      <c r="E3" s="3">
        <v>35853</v>
      </c>
      <c r="F3">
        <v>-1.1900000000000001E-2</v>
      </c>
    </row>
    <row r="4" spans="1:6" ht="14.25" customHeight="1" x14ac:dyDescent="0.25">
      <c r="A4" s="1">
        <v>4.7600000000000003E-2</v>
      </c>
      <c r="B4" s="1">
        <v>-1.1900000000000001E-2</v>
      </c>
      <c r="C4" s="1">
        <v>1.38E-2</v>
      </c>
      <c r="D4" s="1">
        <v>3.8999999999999998E-3</v>
      </c>
      <c r="E4" s="3">
        <v>35885</v>
      </c>
      <c r="F4">
        <v>2.1299999999999999E-2</v>
      </c>
    </row>
    <row r="5" spans="1:6" ht="14.25" customHeight="1" x14ac:dyDescent="0.25">
      <c r="A5" s="1">
        <v>7.4000000000000003E-3</v>
      </c>
      <c r="B5" s="1">
        <v>5.9999999999999995E-4</v>
      </c>
      <c r="C5" s="1">
        <v>1.03E-2</v>
      </c>
      <c r="D5" s="1">
        <v>4.3E-3</v>
      </c>
      <c r="E5" s="3">
        <v>35915</v>
      </c>
      <c r="F5">
        <v>7.6E-3</v>
      </c>
    </row>
    <row r="6" spans="1:6" ht="14.25" customHeight="1" x14ac:dyDescent="0.25">
      <c r="A6" s="1">
        <v>-3.0700000000000002E-2</v>
      </c>
      <c r="B6" s="1">
        <v>-3.4000000000000002E-2</v>
      </c>
      <c r="C6" s="1">
        <v>3.4099999999999998E-2</v>
      </c>
      <c r="D6" s="1">
        <v>4.0000000000000001E-3</v>
      </c>
      <c r="E6" s="3">
        <v>35944</v>
      </c>
      <c r="F6">
        <v>1.9099999999999999E-2</v>
      </c>
    </row>
    <row r="7" spans="1:6" ht="14.25" customHeight="1" x14ac:dyDescent="0.25">
      <c r="A7" s="1">
        <v>3.1899999999999998E-2</v>
      </c>
      <c r="B7" s="1">
        <v>-3.1699999999999999E-2</v>
      </c>
      <c r="C7" s="1">
        <v>-2.0299999999999999E-2</v>
      </c>
      <c r="D7" s="1">
        <v>4.1000000000000003E-3</v>
      </c>
      <c r="E7" s="3">
        <v>35976</v>
      </c>
      <c r="F7">
        <v>7.2599999999999998E-2</v>
      </c>
    </row>
    <row r="8" spans="1:6" ht="14.25" customHeight="1" x14ac:dyDescent="0.25">
      <c r="A8" s="1">
        <v>-2.4199999999999999E-2</v>
      </c>
      <c r="B8" s="1">
        <v>-4.8300000000000003E-2</v>
      </c>
      <c r="C8" s="1">
        <v>-1.83E-2</v>
      </c>
      <c r="D8" s="1">
        <v>4.0000000000000001E-3</v>
      </c>
      <c r="E8" s="3">
        <v>36007</v>
      </c>
      <c r="F8">
        <v>3.7900000000000003E-2</v>
      </c>
    </row>
    <row r="9" spans="1:6" ht="14.25" customHeight="1" x14ac:dyDescent="0.25">
      <c r="A9" s="1">
        <v>-0.1605</v>
      </c>
      <c r="B9" s="1">
        <v>-5.4699999999999999E-2</v>
      </c>
      <c r="C9" s="1">
        <v>3.5700000000000003E-2</v>
      </c>
      <c r="D9" s="1">
        <v>4.3E-3</v>
      </c>
      <c r="E9" s="3">
        <v>36038</v>
      </c>
      <c r="F9">
        <v>1.9E-2</v>
      </c>
    </row>
    <row r="10" spans="1:6" ht="14.25" customHeight="1" x14ac:dyDescent="0.25">
      <c r="A10" s="1">
        <v>6.1899999999999997E-2</v>
      </c>
      <c r="B10" s="1">
        <v>-2.0000000000000001E-4</v>
      </c>
      <c r="C10" s="1">
        <v>-3.5099999999999999E-2</v>
      </c>
      <c r="D10" s="1">
        <v>4.5999999999999999E-3</v>
      </c>
      <c r="E10" s="3">
        <v>36068</v>
      </c>
      <c r="F10">
        <v>-6.4999999999999997E-3</v>
      </c>
    </row>
    <row r="11" spans="1:6" ht="14.25" customHeight="1" x14ac:dyDescent="0.25">
      <c r="A11" s="1">
        <v>6.9800000000000001E-2</v>
      </c>
      <c r="B11" s="1">
        <v>-2.98E-2</v>
      </c>
      <c r="C11" s="1">
        <v>-2.3300000000000001E-2</v>
      </c>
      <c r="D11" s="1">
        <v>3.2000000000000002E-3</v>
      </c>
      <c r="E11" s="3">
        <v>36098</v>
      </c>
      <c r="F11">
        <v>-5.33E-2</v>
      </c>
    </row>
    <row r="12" spans="1:6" ht="14.25" customHeight="1" x14ac:dyDescent="0.25">
      <c r="A12" s="1">
        <v>6.0699999999999997E-2</v>
      </c>
      <c r="B12" s="1">
        <v>1.26E-2</v>
      </c>
      <c r="C12" s="1">
        <v>-3.2399999999999998E-2</v>
      </c>
      <c r="D12" s="1">
        <v>3.0999999999999999E-3</v>
      </c>
      <c r="E12" s="3">
        <v>36129</v>
      </c>
      <c r="F12">
        <v>1.1299999999999999E-2</v>
      </c>
    </row>
    <row r="13" spans="1:6" ht="14.25" customHeight="1" x14ac:dyDescent="0.25">
      <c r="A13" s="1">
        <v>6.1499999999999999E-2</v>
      </c>
      <c r="B13" s="1">
        <v>-4.5999999999999999E-3</v>
      </c>
      <c r="C13" s="1">
        <v>-4.2500000000000003E-2</v>
      </c>
      <c r="D13" s="1">
        <v>3.8E-3</v>
      </c>
      <c r="E13" s="3">
        <v>36160</v>
      </c>
      <c r="F13">
        <v>8.8700000000000001E-2</v>
      </c>
    </row>
    <row r="14" spans="1:6" ht="14.25" customHeight="1" x14ac:dyDescent="0.25">
      <c r="A14" s="1">
        <v>3.4799999999999998E-2</v>
      </c>
      <c r="B14" s="1">
        <v>6.7000000000000002E-3</v>
      </c>
      <c r="C14" s="1">
        <v>-4.4600000000000001E-2</v>
      </c>
      <c r="D14" s="1">
        <v>3.5000000000000001E-3</v>
      </c>
      <c r="E14" s="3">
        <v>36189</v>
      </c>
      <c r="F14">
        <v>2.8400000000000002E-2</v>
      </c>
    </row>
    <row r="15" spans="1:6" ht="14.25" customHeight="1" x14ac:dyDescent="0.25">
      <c r="A15" s="1">
        <v>-4.0800000000000003E-2</v>
      </c>
      <c r="B15" s="1">
        <v>-6.0199999999999997E-2</v>
      </c>
      <c r="C15" s="1">
        <v>1.95E-2</v>
      </c>
      <c r="D15" s="1">
        <v>3.5000000000000001E-3</v>
      </c>
      <c r="E15" s="3">
        <v>36217</v>
      </c>
      <c r="F15">
        <v>-1.4E-3</v>
      </c>
    </row>
    <row r="16" spans="1:6" ht="14.25" customHeight="1" x14ac:dyDescent="0.25">
      <c r="A16" s="1">
        <v>3.4799999999999998E-2</v>
      </c>
      <c r="B16" s="1">
        <v>-3.8399999999999997E-2</v>
      </c>
      <c r="C16" s="1">
        <v>-2.6100000000000002E-2</v>
      </c>
      <c r="D16" s="1">
        <v>4.3E-3</v>
      </c>
      <c r="E16" s="3">
        <v>36250</v>
      </c>
      <c r="F16">
        <v>-1.21E-2</v>
      </c>
    </row>
    <row r="17" spans="1:6" ht="14.25" customHeight="1" x14ac:dyDescent="0.25">
      <c r="A17" s="1">
        <v>4.3400000000000001E-2</v>
      </c>
      <c r="B17" s="1">
        <v>3.8899999999999997E-2</v>
      </c>
      <c r="C17" s="1">
        <v>2.4E-2</v>
      </c>
      <c r="D17" s="1">
        <v>3.7000000000000002E-3</v>
      </c>
      <c r="E17" s="3">
        <v>36280</v>
      </c>
      <c r="F17">
        <v>-8.9800000000000005E-2</v>
      </c>
    </row>
    <row r="18" spans="1:6" ht="14.25" customHeight="1" x14ac:dyDescent="0.25">
      <c r="A18" s="1">
        <v>-2.46E-2</v>
      </c>
      <c r="B18" s="1">
        <v>3.32E-2</v>
      </c>
      <c r="C18" s="1">
        <v>2.4899999999999999E-2</v>
      </c>
      <c r="D18" s="1">
        <v>3.3999999999999998E-3</v>
      </c>
      <c r="E18" s="3">
        <v>36308</v>
      </c>
      <c r="F18">
        <v>-5.2499999999999998E-2</v>
      </c>
    </row>
    <row r="19" spans="1:6" ht="14.25" customHeight="1" x14ac:dyDescent="0.25">
      <c r="A19" s="1">
        <v>4.7699999999999999E-2</v>
      </c>
      <c r="B19" s="1">
        <v>3.2300000000000002E-2</v>
      </c>
      <c r="C19" s="1">
        <v>-3.2199999999999999E-2</v>
      </c>
      <c r="D19" s="1">
        <v>4.0000000000000001E-3</v>
      </c>
      <c r="E19" s="3">
        <v>36341</v>
      </c>
      <c r="F19">
        <v>4.6600000000000003E-2</v>
      </c>
    </row>
    <row r="20" spans="1:6" ht="14.25" customHeight="1" x14ac:dyDescent="0.25">
      <c r="A20" s="1">
        <v>-3.49E-2</v>
      </c>
      <c r="B20" s="1">
        <v>2.4799999999999999E-2</v>
      </c>
      <c r="C20" s="1">
        <v>-1.8E-3</v>
      </c>
      <c r="D20" s="1">
        <v>3.8E-3</v>
      </c>
      <c r="E20" s="3">
        <v>36371</v>
      </c>
      <c r="F20">
        <v>1.7000000000000001E-2</v>
      </c>
    </row>
    <row r="21" spans="1:6" ht="14.25" customHeight="1" x14ac:dyDescent="0.25">
      <c r="A21" s="1">
        <v>-1.37E-2</v>
      </c>
      <c r="B21" s="1">
        <v>-9.4999999999999998E-3</v>
      </c>
      <c r="C21" s="1">
        <v>-1.9300000000000001E-2</v>
      </c>
      <c r="D21" s="1">
        <v>3.8999999999999998E-3</v>
      </c>
      <c r="E21" s="3">
        <v>36403</v>
      </c>
      <c r="F21">
        <v>2.98E-2</v>
      </c>
    </row>
    <row r="22" spans="1:6" ht="14.25" customHeight="1" x14ac:dyDescent="0.25">
      <c r="A22" s="1">
        <v>-2.7699999999999999E-2</v>
      </c>
      <c r="B22" s="1">
        <v>3.1199999999999999E-2</v>
      </c>
      <c r="C22" s="1">
        <v>-2.9000000000000001E-2</v>
      </c>
      <c r="D22" s="1">
        <v>3.8999999999999998E-3</v>
      </c>
      <c r="E22" s="3">
        <v>36433</v>
      </c>
      <c r="F22">
        <v>6.3799999999999996E-2</v>
      </c>
    </row>
    <row r="23" spans="1:6" ht="14.25" customHeight="1" x14ac:dyDescent="0.25">
      <c r="A23" s="1">
        <v>6.0900000000000003E-2</v>
      </c>
      <c r="B23" s="1">
        <v>-6.9400000000000003E-2</v>
      </c>
      <c r="C23" s="1">
        <v>-2.8799999999999999E-2</v>
      </c>
      <c r="D23" s="1">
        <v>3.8999999999999998E-3</v>
      </c>
      <c r="E23" s="3">
        <v>36462</v>
      </c>
      <c r="F23">
        <v>5.45E-2</v>
      </c>
    </row>
    <row r="24" spans="1:6" ht="14.25" customHeight="1" x14ac:dyDescent="0.25">
      <c r="A24" s="1">
        <v>3.4099999999999998E-2</v>
      </c>
      <c r="B24" s="1">
        <v>6.8699999999999997E-2</v>
      </c>
      <c r="C24" s="1">
        <v>-5.6500000000000002E-2</v>
      </c>
      <c r="D24" s="1">
        <v>3.5999999999999999E-3</v>
      </c>
      <c r="E24" s="3">
        <v>36494</v>
      </c>
      <c r="F24">
        <v>5.4899999999999997E-2</v>
      </c>
    </row>
    <row r="25" spans="1:6" ht="14.25" customHeight="1" x14ac:dyDescent="0.25">
      <c r="A25" s="1">
        <v>7.6600000000000001E-2</v>
      </c>
      <c r="B25" s="1">
        <v>6.5600000000000006E-2</v>
      </c>
      <c r="C25" s="1">
        <v>-7.6600000000000001E-2</v>
      </c>
      <c r="D25" s="1">
        <v>4.4000000000000003E-3</v>
      </c>
      <c r="E25" s="3">
        <v>36525</v>
      </c>
      <c r="F25">
        <v>0.13139999999999999</v>
      </c>
    </row>
    <row r="26" spans="1:6" ht="14.25" customHeight="1" x14ac:dyDescent="0.25">
      <c r="A26" s="1">
        <v>-4.7399999999999998E-2</v>
      </c>
      <c r="B26" s="1">
        <v>5.16E-2</v>
      </c>
      <c r="C26" s="1">
        <v>-1.12E-2</v>
      </c>
      <c r="D26" s="1">
        <v>4.1000000000000003E-3</v>
      </c>
      <c r="E26" s="3">
        <v>36556</v>
      </c>
      <c r="F26">
        <v>1.8599999999999998E-2</v>
      </c>
    </row>
    <row r="27" spans="1:6" ht="14.25" customHeight="1" x14ac:dyDescent="0.25">
      <c r="A27" s="1">
        <v>2.46E-2</v>
      </c>
      <c r="B27" s="1">
        <v>0.21249999999999999</v>
      </c>
      <c r="C27" s="1">
        <v>-9.7699999999999995E-2</v>
      </c>
      <c r="D27" s="1">
        <v>4.3E-3</v>
      </c>
      <c r="E27" s="3">
        <v>36585</v>
      </c>
      <c r="F27">
        <v>0.1802</v>
      </c>
    </row>
    <row r="28" spans="1:6" ht="14.25" customHeight="1" x14ac:dyDescent="0.25">
      <c r="A28" s="1">
        <v>5.21E-2</v>
      </c>
      <c r="B28" s="1">
        <v>-0.1741</v>
      </c>
      <c r="C28" s="1">
        <v>8.5000000000000006E-2</v>
      </c>
      <c r="D28" s="1">
        <v>4.7000000000000002E-3</v>
      </c>
      <c r="E28" s="3">
        <v>36616</v>
      </c>
      <c r="F28">
        <v>-6.8500000000000005E-2</v>
      </c>
    </row>
    <row r="29" spans="1:6" ht="14.25" customHeight="1" x14ac:dyDescent="0.25">
      <c r="A29" s="1">
        <v>-6.3899999999999998E-2</v>
      </c>
      <c r="B29" s="1">
        <v>-0.06</v>
      </c>
      <c r="C29" s="1">
        <v>6.4500000000000002E-2</v>
      </c>
      <c r="D29" s="1">
        <v>4.5999999999999999E-3</v>
      </c>
      <c r="E29" s="3">
        <v>36644</v>
      </c>
      <c r="F29">
        <v>-8.5999999999999993E-2</v>
      </c>
    </row>
    <row r="30" spans="1:6" ht="14.25" customHeight="1" x14ac:dyDescent="0.25">
      <c r="A30" s="1">
        <v>-4.3900000000000002E-2</v>
      </c>
      <c r="B30" s="1">
        <v>-6.08E-2</v>
      </c>
      <c r="C30" s="1">
        <v>4.5900000000000003E-2</v>
      </c>
      <c r="D30" s="1">
        <v>5.0000000000000001E-3</v>
      </c>
      <c r="E30" s="3">
        <v>36677</v>
      </c>
      <c r="F30">
        <v>-8.9899999999999994E-2</v>
      </c>
    </row>
    <row r="31" spans="1:6" ht="14.25" customHeight="1" x14ac:dyDescent="0.25">
      <c r="A31" s="1">
        <v>4.6800000000000001E-2</v>
      </c>
      <c r="B31" s="1">
        <v>0.12709999999999999</v>
      </c>
      <c r="C31" s="1">
        <v>-8.0399999999999999E-2</v>
      </c>
      <c r="D31" s="1">
        <v>4.0000000000000001E-3</v>
      </c>
      <c r="E31" s="3">
        <v>36707</v>
      </c>
      <c r="F31">
        <v>0.1663</v>
      </c>
    </row>
    <row r="32" spans="1:6" ht="14.25" customHeight="1" x14ac:dyDescent="0.25">
      <c r="A32" s="1">
        <v>-2.4799999999999999E-2</v>
      </c>
      <c r="B32" s="1">
        <v>-2.8400000000000002E-2</v>
      </c>
      <c r="C32" s="1">
        <v>8.0600000000000005E-2</v>
      </c>
      <c r="D32" s="1">
        <v>4.7999999999999996E-3</v>
      </c>
      <c r="E32" s="3">
        <v>36738</v>
      </c>
      <c r="F32">
        <v>-1.6000000000000001E-3</v>
      </c>
    </row>
    <row r="33" spans="1:6" ht="14.25" customHeight="1" x14ac:dyDescent="0.25">
      <c r="A33" s="1">
        <v>7.0300000000000001E-2</v>
      </c>
      <c r="B33" s="1">
        <v>-5.0000000000000001E-3</v>
      </c>
      <c r="C33" s="1">
        <v>-1.37E-2</v>
      </c>
      <c r="D33" s="1">
        <v>5.0000000000000001E-3</v>
      </c>
      <c r="E33" s="3">
        <v>36769</v>
      </c>
      <c r="F33">
        <v>5.5899999999999998E-2</v>
      </c>
    </row>
    <row r="34" spans="1:6" ht="14.25" customHeight="1" x14ac:dyDescent="0.25">
      <c r="A34" s="1">
        <v>-5.4399999999999997E-2</v>
      </c>
      <c r="B34" s="1">
        <v>-1.7399999999999999E-2</v>
      </c>
      <c r="C34" s="1">
        <v>7.2400000000000006E-2</v>
      </c>
      <c r="D34" s="1">
        <v>5.1000000000000004E-3</v>
      </c>
      <c r="E34" s="3">
        <v>36798</v>
      </c>
      <c r="F34">
        <v>1.89E-2</v>
      </c>
    </row>
    <row r="35" spans="1:6" ht="14.25" customHeight="1" x14ac:dyDescent="0.25">
      <c r="A35" s="1">
        <v>-2.7799999999999998E-2</v>
      </c>
      <c r="B35" s="1">
        <v>-3.85E-2</v>
      </c>
      <c r="C35" s="1">
        <v>5.5800000000000002E-2</v>
      </c>
      <c r="D35" s="1">
        <v>5.5999999999999999E-3</v>
      </c>
      <c r="E35" s="3">
        <v>36830</v>
      </c>
      <c r="F35">
        <v>-4.5600000000000002E-2</v>
      </c>
    </row>
    <row r="36" spans="1:6" ht="14.25" customHeight="1" x14ac:dyDescent="0.25">
      <c r="A36" s="1">
        <v>-0.107</v>
      </c>
      <c r="B36" s="1">
        <v>-3.0800000000000001E-2</v>
      </c>
      <c r="C36" s="1">
        <v>0.12239999999999999</v>
      </c>
      <c r="D36" s="1">
        <v>5.1000000000000004E-3</v>
      </c>
      <c r="E36" s="3">
        <v>36860</v>
      </c>
      <c r="F36">
        <v>-2.1700000000000001E-2</v>
      </c>
    </row>
    <row r="37" spans="1:6" ht="14.25" customHeight="1" x14ac:dyDescent="0.25">
      <c r="A37" s="1">
        <v>1.18E-2</v>
      </c>
      <c r="B37" s="1">
        <v>8.2000000000000007E-3</v>
      </c>
      <c r="C37" s="1">
        <v>7.5499999999999998E-2</v>
      </c>
      <c r="D37" s="1">
        <v>5.0000000000000001E-3</v>
      </c>
      <c r="E37" s="3">
        <v>36889</v>
      </c>
      <c r="F37">
        <v>6.59E-2</v>
      </c>
    </row>
    <row r="38" spans="1:6" ht="14.25" customHeight="1" x14ac:dyDescent="0.25">
      <c r="A38" s="1">
        <v>3.2500000000000001E-2</v>
      </c>
      <c r="B38" s="1">
        <v>6.4100000000000004E-2</v>
      </c>
      <c r="C38" s="1">
        <v>-5.0500000000000003E-2</v>
      </c>
      <c r="D38" s="1">
        <v>5.4000000000000003E-3</v>
      </c>
      <c r="E38" s="3">
        <v>36922</v>
      </c>
      <c r="F38">
        <v>-0.2535</v>
      </c>
    </row>
    <row r="39" spans="1:6" ht="14.25" customHeight="1" x14ac:dyDescent="0.25">
      <c r="A39" s="1">
        <v>-0.1003</v>
      </c>
      <c r="B39" s="1">
        <v>-6.4999999999999997E-3</v>
      </c>
      <c r="C39" s="1">
        <v>0.12230000000000001</v>
      </c>
      <c r="D39" s="1">
        <v>3.8E-3</v>
      </c>
      <c r="E39" s="3">
        <v>36950</v>
      </c>
      <c r="F39">
        <v>0.126</v>
      </c>
    </row>
    <row r="40" spans="1:6" ht="14.25" customHeight="1" x14ac:dyDescent="0.25">
      <c r="A40" s="1">
        <v>-7.2499999999999995E-2</v>
      </c>
      <c r="B40" s="1">
        <v>2.5999999999999999E-3</v>
      </c>
      <c r="C40" s="1">
        <v>6.4699999999999994E-2</v>
      </c>
      <c r="D40" s="1">
        <v>4.1999999999999997E-3</v>
      </c>
      <c r="E40" s="3">
        <v>36980</v>
      </c>
      <c r="F40">
        <v>8.6499999999999994E-2</v>
      </c>
    </row>
    <row r="41" spans="1:6" ht="14.25" customHeight="1" x14ac:dyDescent="0.25">
      <c r="A41" s="1">
        <v>7.9299999999999995E-2</v>
      </c>
      <c r="B41" s="1">
        <v>5.0000000000000001E-3</v>
      </c>
      <c r="C41" s="1">
        <v>-4.6399999999999997E-2</v>
      </c>
      <c r="D41" s="1">
        <v>3.8999999999999998E-3</v>
      </c>
      <c r="E41" s="3">
        <v>37011</v>
      </c>
      <c r="F41">
        <v>-8.0100000000000005E-2</v>
      </c>
    </row>
    <row r="42" spans="1:6" ht="14.25" customHeight="1" x14ac:dyDescent="0.25">
      <c r="A42" s="1">
        <v>6.7999999999999996E-3</v>
      </c>
      <c r="B42" s="1">
        <v>2.4799999999999999E-2</v>
      </c>
      <c r="C42" s="1">
        <v>3.3799999999999997E-2</v>
      </c>
      <c r="D42" s="1">
        <v>3.2000000000000002E-3</v>
      </c>
      <c r="E42" s="3">
        <v>37042</v>
      </c>
      <c r="F42">
        <v>2.1499999999999998E-2</v>
      </c>
    </row>
    <row r="43" spans="1:6" ht="14.25" customHeight="1" x14ac:dyDescent="0.25">
      <c r="A43" s="1">
        <v>-1.9400000000000001E-2</v>
      </c>
      <c r="B43" s="1">
        <v>6.3500000000000001E-2</v>
      </c>
      <c r="C43" s="1">
        <v>-1.26E-2</v>
      </c>
      <c r="D43" s="1">
        <v>2.8E-3</v>
      </c>
      <c r="E43" s="3">
        <v>37071</v>
      </c>
      <c r="F43">
        <v>6.1999999999999998E-3</v>
      </c>
    </row>
    <row r="44" spans="1:6" ht="14.25" customHeight="1" x14ac:dyDescent="0.25">
      <c r="A44" s="1">
        <v>-2.1299999999999999E-2</v>
      </c>
      <c r="B44" s="1">
        <v>-4.0500000000000001E-2</v>
      </c>
      <c r="C44" s="1">
        <v>4.9500000000000002E-2</v>
      </c>
      <c r="D44" s="1">
        <v>3.0000000000000001E-3</v>
      </c>
      <c r="E44" s="3">
        <v>37103</v>
      </c>
      <c r="F44">
        <v>5.4800000000000001E-2</v>
      </c>
    </row>
    <row r="45" spans="1:6" ht="14.25" customHeight="1" x14ac:dyDescent="0.25">
      <c r="A45" s="1">
        <v>-6.4000000000000001E-2</v>
      </c>
      <c r="B45" s="1">
        <v>2.1899999999999999E-2</v>
      </c>
      <c r="C45" s="1">
        <v>2.86E-2</v>
      </c>
      <c r="D45" s="1">
        <v>3.0999999999999999E-3</v>
      </c>
      <c r="E45" s="3">
        <v>37134</v>
      </c>
      <c r="F45">
        <v>5.4600000000000003E-2</v>
      </c>
    </row>
    <row r="46" spans="1:6" ht="14.25" customHeight="1" x14ac:dyDescent="0.25">
      <c r="A46" s="1">
        <v>-9.2399999999999996E-2</v>
      </c>
      <c r="B46" s="1">
        <v>-6.2300000000000001E-2</v>
      </c>
      <c r="C46" s="1">
        <v>1.52E-2</v>
      </c>
      <c r="D46" s="1">
        <v>2.8E-3</v>
      </c>
      <c r="E46" s="3">
        <v>37162</v>
      </c>
      <c r="F46">
        <v>0.1138</v>
      </c>
    </row>
    <row r="47" spans="1:6" ht="14.25" customHeight="1" x14ac:dyDescent="0.25">
      <c r="A47" s="1">
        <v>2.4799999999999999E-2</v>
      </c>
      <c r="B47" s="1">
        <v>7.4899999999999994E-2</v>
      </c>
      <c r="C47" s="1">
        <v>-7.3099999999999998E-2</v>
      </c>
      <c r="D47" s="1">
        <v>2.2000000000000001E-3</v>
      </c>
      <c r="E47" s="3">
        <v>37195</v>
      </c>
      <c r="F47">
        <v>-8.3199999999999996E-2</v>
      </c>
    </row>
    <row r="48" spans="1:6" ht="14.25" customHeight="1" x14ac:dyDescent="0.25">
      <c r="A48" s="1">
        <v>7.5300000000000006E-2</v>
      </c>
      <c r="B48" s="1">
        <v>-5.7000000000000002E-3</v>
      </c>
      <c r="C48" s="1">
        <v>2.1700000000000001E-2</v>
      </c>
      <c r="D48" s="1">
        <v>1.6999999999999999E-3</v>
      </c>
      <c r="E48" s="3">
        <v>37225</v>
      </c>
      <c r="F48">
        <v>-8.6099999999999996E-2</v>
      </c>
    </row>
    <row r="49" spans="1:6" ht="14.25" customHeight="1" x14ac:dyDescent="0.25">
      <c r="A49" s="1">
        <v>1.61E-2</v>
      </c>
      <c r="B49" s="1">
        <v>4.7199999999999999E-2</v>
      </c>
      <c r="C49" s="1">
        <v>8.3000000000000001E-3</v>
      </c>
      <c r="D49" s="1">
        <v>1.5E-3</v>
      </c>
      <c r="E49" s="3">
        <v>37256</v>
      </c>
      <c r="F49">
        <v>2.0000000000000001E-4</v>
      </c>
    </row>
    <row r="50" spans="1:6" ht="14.25" customHeight="1" x14ac:dyDescent="0.25">
      <c r="A50" s="1">
        <v>-1.44E-2</v>
      </c>
      <c r="B50" s="1">
        <v>1.17E-2</v>
      </c>
      <c r="C50" s="1">
        <v>3.4200000000000001E-2</v>
      </c>
      <c r="D50" s="1">
        <v>1.4E-3</v>
      </c>
      <c r="E50" s="3">
        <v>37287</v>
      </c>
      <c r="F50">
        <v>3.6499999999999998E-2</v>
      </c>
    </row>
    <row r="51" spans="1:6" ht="14.25" customHeight="1" x14ac:dyDescent="0.25">
      <c r="A51" s="1">
        <v>-2.3E-2</v>
      </c>
      <c r="B51" s="1">
        <v>-1.0800000000000001E-2</v>
      </c>
      <c r="C51" s="1">
        <v>2.3400000000000001E-2</v>
      </c>
      <c r="D51" s="1">
        <v>1.2999999999999999E-3</v>
      </c>
      <c r="E51" s="3">
        <v>37315</v>
      </c>
      <c r="F51">
        <v>6.83E-2</v>
      </c>
    </row>
    <row r="52" spans="1:6" ht="14.25" customHeight="1" x14ac:dyDescent="0.25">
      <c r="A52" s="1">
        <v>4.24E-2</v>
      </c>
      <c r="B52" s="1">
        <v>4.0899999999999999E-2</v>
      </c>
      <c r="C52" s="1">
        <v>1.0800000000000001E-2</v>
      </c>
      <c r="D52" s="1">
        <v>1.2999999999999999E-3</v>
      </c>
      <c r="E52" s="3">
        <v>37343</v>
      </c>
      <c r="F52">
        <v>-1.6899999999999998E-2</v>
      </c>
    </row>
    <row r="53" spans="1:6" ht="14.25" customHeight="1" x14ac:dyDescent="0.25">
      <c r="A53" s="1">
        <v>-5.21E-2</v>
      </c>
      <c r="B53" s="1">
        <v>5.8200000000000002E-2</v>
      </c>
      <c r="C53" s="1">
        <v>4.0099999999999997E-2</v>
      </c>
      <c r="D53" s="1">
        <v>1.5E-3</v>
      </c>
      <c r="E53" s="3">
        <v>37376</v>
      </c>
      <c r="F53">
        <v>7.6999999999999999E-2</v>
      </c>
    </row>
    <row r="54" spans="1:6" ht="14.25" customHeight="1" x14ac:dyDescent="0.25">
      <c r="A54" s="1">
        <v>-1.3599999999999999E-2</v>
      </c>
      <c r="B54" s="1">
        <v>-3.27E-2</v>
      </c>
      <c r="C54" s="1">
        <v>1.52E-2</v>
      </c>
      <c r="D54" s="1">
        <v>1.4E-3</v>
      </c>
      <c r="E54" s="3">
        <v>37407</v>
      </c>
      <c r="F54">
        <v>3.09E-2</v>
      </c>
    </row>
    <row r="55" spans="1:6" ht="14.25" customHeight="1" x14ac:dyDescent="0.25">
      <c r="A55" s="1">
        <v>-7.2300000000000003E-2</v>
      </c>
      <c r="B55" s="1">
        <v>4.0800000000000003E-2</v>
      </c>
      <c r="C55" s="1">
        <v>3.7000000000000002E-3</v>
      </c>
      <c r="D55" s="1">
        <v>1.2999999999999999E-3</v>
      </c>
      <c r="E55" s="3">
        <v>37435</v>
      </c>
      <c r="F55">
        <v>6.2399999999999997E-2</v>
      </c>
    </row>
    <row r="56" spans="1:6" ht="14.25" customHeight="1" x14ac:dyDescent="0.25">
      <c r="A56" s="1">
        <v>-8.1900000000000001E-2</v>
      </c>
      <c r="B56" s="1">
        <v>-5.2499999999999998E-2</v>
      </c>
      <c r="C56" s="1">
        <v>-3.5099999999999999E-2</v>
      </c>
      <c r="D56" s="1">
        <v>1.5E-3</v>
      </c>
      <c r="E56" s="3">
        <v>37468</v>
      </c>
      <c r="F56">
        <v>3.6299999999999999E-2</v>
      </c>
    </row>
    <row r="57" spans="1:6" ht="14.25" customHeight="1" x14ac:dyDescent="0.25">
      <c r="A57" s="1">
        <v>5.0000000000000001E-3</v>
      </c>
      <c r="B57" s="1">
        <v>-2.8000000000000001E-2</v>
      </c>
      <c r="C57" s="1">
        <v>3.0099999999999998E-2</v>
      </c>
      <c r="D57" s="1">
        <v>1.4E-3</v>
      </c>
      <c r="E57" s="3">
        <v>37498</v>
      </c>
      <c r="F57">
        <v>1.8700000000000001E-2</v>
      </c>
    </row>
    <row r="58" spans="1:6" ht="14.25" customHeight="1" x14ac:dyDescent="0.25">
      <c r="A58" s="1">
        <v>-0.10340000000000001</v>
      </c>
      <c r="B58" s="1">
        <v>2.4199999999999999E-2</v>
      </c>
      <c r="C58" s="1">
        <v>1.26E-2</v>
      </c>
      <c r="D58" s="1">
        <v>1.4E-3</v>
      </c>
      <c r="E58" s="3">
        <v>37529</v>
      </c>
      <c r="F58">
        <v>9.1800000000000007E-2</v>
      </c>
    </row>
    <row r="59" spans="1:6" ht="14.25" customHeight="1" x14ac:dyDescent="0.25">
      <c r="A59" s="1">
        <v>7.8399999999999997E-2</v>
      </c>
      <c r="B59" s="1">
        <v>-3.4000000000000002E-2</v>
      </c>
      <c r="C59" s="1">
        <v>-3.7600000000000001E-2</v>
      </c>
      <c r="D59" s="1">
        <v>1.4E-3</v>
      </c>
      <c r="E59" s="3">
        <v>37560</v>
      </c>
      <c r="F59">
        <v>-5.5800000000000002E-2</v>
      </c>
    </row>
    <row r="60" spans="1:6" ht="14.25" customHeight="1" x14ac:dyDescent="0.25">
      <c r="A60" s="1">
        <v>5.96E-2</v>
      </c>
      <c r="B60" s="1">
        <v>3.2599999999999997E-2</v>
      </c>
      <c r="C60" s="1">
        <v>-1.1599999999999999E-2</v>
      </c>
      <c r="D60" s="1">
        <v>1.1999999999999999E-3</v>
      </c>
      <c r="E60" s="3">
        <v>37589</v>
      </c>
      <c r="F60">
        <v>-0.1643</v>
      </c>
    </row>
    <row r="61" spans="1:6" ht="14.25" customHeight="1" x14ac:dyDescent="0.25">
      <c r="A61" s="1">
        <v>-5.7599999999999998E-2</v>
      </c>
      <c r="B61" s="1">
        <v>-4.0000000000000002E-4</v>
      </c>
      <c r="C61" s="1">
        <v>2.1100000000000001E-2</v>
      </c>
      <c r="D61" s="1">
        <v>1.1000000000000001E-3</v>
      </c>
      <c r="E61" s="3">
        <v>37621</v>
      </c>
      <c r="F61">
        <v>9.7199999999999995E-2</v>
      </c>
    </row>
    <row r="62" spans="1:6" ht="14.25" customHeight="1" x14ac:dyDescent="0.25">
      <c r="A62" s="1">
        <v>-2.5700000000000001E-2</v>
      </c>
      <c r="B62" s="1">
        <v>1.34E-2</v>
      </c>
      <c r="C62" s="1">
        <v>-7.9000000000000008E-3</v>
      </c>
      <c r="D62" s="1">
        <v>1E-3</v>
      </c>
      <c r="E62" s="3">
        <v>37652</v>
      </c>
      <c r="F62">
        <v>1.5900000000000001E-2</v>
      </c>
    </row>
    <row r="63" spans="1:6" ht="14.25" customHeight="1" x14ac:dyDescent="0.25">
      <c r="A63" s="1">
        <v>-1.8800000000000001E-2</v>
      </c>
      <c r="B63" s="1">
        <v>-4.4000000000000003E-3</v>
      </c>
      <c r="C63" s="1">
        <v>-1.3599999999999999E-2</v>
      </c>
      <c r="D63" s="1">
        <v>8.9999999999999998E-4</v>
      </c>
      <c r="E63" s="3">
        <v>37680</v>
      </c>
      <c r="F63">
        <v>1.21E-2</v>
      </c>
    </row>
    <row r="64" spans="1:6" ht="14.25" customHeight="1" x14ac:dyDescent="0.25">
      <c r="A64" s="1">
        <v>1.09E-2</v>
      </c>
      <c r="B64" s="1">
        <v>1.17E-2</v>
      </c>
      <c r="C64" s="1">
        <v>-2.1100000000000001E-2</v>
      </c>
      <c r="D64" s="1">
        <v>1E-3</v>
      </c>
      <c r="E64" s="3">
        <v>37711</v>
      </c>
      <c r="F64">
        <v>1.4E-2</v>
      </c>
    </row>
    <row r="65" spans="1:6" ht="14.25" customHeight="1" x14ac:dyDescent="0.25">
      <c r="A65" s="1">
        <v>8.1799999999999998E-2</v>
      </c>
      <c r="B65" s="1">
        <v>7.6E-3</v>
      </c>
      <c r="C65" s="1">
        <v>1.2200000000000001E-2</v>
      </c>
      <c r="D65" s="1">
        <v>1E-3</v>
      </c>
      <c r="E65" s="3">
        <v>37741</v>
      </c>
      <c r="F65">
        <v>-9.35E-2</v>
      </c>
    </row>
    <row r="66" spans="1:6" ht="14.25" customHeight="1" x14ac:dyDescent="0.25">
      <c r="A66" s="1">
        <v>6.0499999999999998E-2</v>
      </c>
      <c r="B66" s="1">
        <v>4.6100000000000002E-2</v>
      </c>
      <c r="C66" s="1">
        <v>7.0000000000000001E-3</v>
      </c>
      <c r="D66" s="1">
        <v>8.9999999999999998E-4</v>
      </c>
      <c r="E66" s="3">
        <v>37771</v>
      </c>
      <c r="F66">
        <v>-0.1075</v>
      </c>
    </row>
    <row r="67" spans="1:6" ht="14.25" customHeight="1" x14ac:dyDescent="0.25">
      <c r="A67" s="1">
        <v>1.4200000000000001E-2</v>
      </c>
      <c r="B67" s="1">
        <v>1.7000000000000001E-2</v>
      </c>
      <c r="C67" s="1">
        <v>1.4E-3</v>
      </c>
      <c r="D67" s="1">
        <v>1E-3</v>
      </c>
      <c r="E67" s="3">
        <v>37802</v>
      </c>
      <c r="F67">
        <v>-1.23E-2</v>
      </c>
    </row>
    <row r="68" spans="1:6" ht="14.25" customHeight="1" x14ac:dyDescent="0.25">
      <c r="A68" s="1">
        <v>2.3300000000000001E-2</v>
      </c>
      <c r="B68" s="1">
        <v>4.9299999999999997E-2</v>
      </c>
      <c r="C68" s="1">
        <v>-1.5299999999999999E-2</v>
      </c>
      <c r="D68" s="1">
        <v>6.9999999999999999E-4</v>
      </c>
      <c r="E68" s="3">
        <v>37833</v>
      </c>
      <c r="F68">
        <v>-3.0000000000000001E-3</v>
      </c>
    </row>
    <row r="69" spans="1:6" ht="14.25" customHeight="1" x14ac:dyDescent="0.25">
      <c r="A69" s="1">
        <v>2.3300000000000001E-2</v>
      </c>
      <c r="B69" s="1">
        <v>2.4400000000000002E-2</v>
      </c>
      <c r="C69" s="1">
        <v>1.6400000000000001E-2</v>
      </c>
      <c r="D69" s="1">
        <v>6.9999999999999999E-4</v>
      </c>
      <c r="E69" s="3">
        <v>37862</v>
      </c>
      <c r="F69">
        <v>-5.3E-3</v>
      </c>
    </row>
    <row r="70" spans="1:6" ht="14.25" customHeight="1" x14ac:dyDescent="0.25">
      <c r="A70" s="1">
        <v>-1.24E-2</v>
      </c>
      <c r="B70" s="1">
        <v>8.5000000000000006E-3</v>
      </c>
      <c r="C70" s="1">
        <v>1.4E-3</v>
      </c>
      <c r="D70" s="1">
        <v>8.0000000000000004E-4</v>
      </c>
      <c r="E70" s="3">
        <v>37894</v>
      </c>
      <c r="F70">
        <v>-6.9999999999999999E-4</v>
      </c>
    </row>
    <row r="71" spans="1:6" ht="14.25" customHeight="1" x14ac:dyDescent="0.25">
      <c r="A71" s="1">
        <v>6.08E-2</v>
      </c>
      <c r="B71" s="1">
        <v>2.5899999999999999E-2</v>
      </c>
      <c r="C71" s="1">
        <v>2.2100000000000002E-2</v>
      </c>
      <c r="D71" s="1">
        <v>6.9999999999999999E-4</v>
      </c>
      <c r="E71" s="3">
        <v>37925</v>
      </c>
      <c r="F71">
        <v>4.0099999999999997E-2</v>
      </c>
    </row>
    <row r="72" spans="1:6" ht="14.25" customHeight="1" x14ac:dyDescent="0.25">
      <c r="A72" s="1">
        <v>1.35E-2</v>
      </c>
      <c r="B72" s="1">
        <v>2.06E-2</v>
      </c>
      <c r="C72" s="1">
        <v>1.72E-2</v>
      </c>
      <c r="D72" s="1">
        <v>6.9999999999999999E-4</v>
      </c>
      <c r="E72" s="3">
        <v>37953</v>
      </c>
      <c r="F72">
        <v>1.3599999999999999E-2</v>
      </c>
    </row>
    <row r="73" spans="1:6" ht="14.25" customHeight="1" x14ac:dyDescent="0.25">
      <c r="A73" s="1">
        <v>4.2900000000000001E-2</v>
      </c>
      <c r="B73" s="1">
        <v>-2.6800000000000001E-2</v>
      </c>
      <c r="C73" s="1">
        <v>1.5100000000000001E-2</v>
      </c>
      <c r="D73" s="1">
        <v>8.0000000000000004E-4</v>
      </c>
      <c r="E73" s="3">
        <v>37986</v>
      </c>
      <c r="F73">
        <v>-5.5399999999999998E-2</v>
      </c>
    </row>
    <row r="74" spans="1:6" ht="14.25" customHeight="1" x14ac:dyDescent="0.25">
      <c r="A74" s="1">
        <v>2.1499999999999998E-2</v>
      </c>
      <c r="B74" s="1">
        <v>2.5399999999999999E-2</v>
      </c>
      <c r="C74" s="1">
        <v>2.4199999999999999E-2</v>
      </c>
      <c r="D74" s="1">
        <v>6.9999999999999999E-4</v>
      </c>
      <c r="E74" s="3">
        <v>38016</v>
      </c>
      <c r="F74">
        <v>2.5700000000000001E-2</v>
      </c>
    </row>
    <row r="75" spans="1:6" ht="14.25" customHeight="1" x14ac:dyDescent="0.25">
      <c r="A75" s="1">
        <v>1.4E-2</v>
      </c>
      <c r="B75" s="1">
        <v>-1.5699999999999999E-2</v>
      </c>
      <c r="C75" s="1">
        <v>9.4999999999999998E-3</v>
      </c>
      <c r="D75" s="1">
        <v>5.9999999999999995E-4</v>
      </c>
      <c r="E75" s="3">
        <v>38044</v>
      </c>
      <c r="F75">
        <v>-1.17E-2</v>
      </c>
    </row>
    <row r="76" spans="1:6" ht="14.25" customHeight="1" x14ac:dyDescent="0.25">
      <c r="A76" s="1">
        <v>-1.32E-2</v>
      </c>
      <c r="B76" s="1">
        <v>1.7299999999999999E-2</v>
      </c>
      <c r="C76" s="1">
        <v>2.3E-3</v>
      </c>
      <c r="D76" s="1">
        <v>8.9999999999999998E-4</v>
      </c>
      <c r="E76" s="3">
        <v>38077</v>
      </c>
      <c r="F76">
        <v>1.9E-3</v>
      </c>
    </row>
    <row r="77" spans="1:6" ht="14.25" customHeight="1" x14ac:dyDescent="0.25">
      <c r="A77" s="1">
        <v>-1.8100000000000002E-2</v>
      </c>
      <c r="B77" s="1">
        <v>-1.7299999999999999E-2</v>
      </c>
      <c r="C77" s="1">
        <v>-3.2300000000000002E-2</v>
      </c>
      <c r="D77" s="1">
        <v>8.0000000000000004E-4</v>
      </c>
      <c r="E77" s="3">
        <v>38107</v>
      </c>
      <c r="F77">
        <v>-5.3400000000000003E-2</v>
      </c>
    </row>
    <row r="78" spans="1:6" ht="14.25" customHeight="1" x14ac:dyDescent="0.25">
      <c r="A78" s="1">
        <v>1.18E-2</v>
      </c>
      <c r="B78" s="1">
        <v>-2.3E-3</v>
      </c>
      <c r="C78" s="1">
        <v>-1.8E-3</v>
      </c>
      <c r="D78" s="1">
        <v>5.9999999999999995E-4</v>
      </c>
      <c r="E78" s="3">
        <v>38135</v>
      </c>
      <c r="F78">
        <v>1.49E-2</v>
      </c>
    </row>
    <row r="79" spans="1:6" ht="14.25" customHeight="1" x14ac:dyDescent="0.25">
      <c r="A79" s="1">
        <v>1.8499999999999999E-2</v>
      </c>
      <c r="B79" s="1">
        <v>2.2499999999999999E-2</v>
      </c>
      <c r="C79" s="1">
        <v>1.21E-2</v>
      </c>
      <c r="D79" s="1">
        <v>8.0000000000000004E-4</v>
      </c>
      <c r="E79" s="3">
        <v>38168</v>
      </c>
      <c r="F79">
        <v>2.0799999999999999E-2</v>
      </c>
    </row>
    <row r="80" spans="1:6" ht="14.25" customHeight="1" x14ac:dyDescent="0.25">
      <c r="A80" s="1">
        <v>-4.0399999999999998E-2</v>
      </c>
      <c r="B80" s="1">
        <v>-3.7600000000000001E-2</v>
      </c>
      <c r="C80" s="1">
        <v>3.2199999999999999E-2</v>
      </c>
      <c r="D80" s="1">
        <v>1E-3</v>
      </c>
      <c r="E80" s="3">
        <v>38198</v>
      </c>
      <c r="F80">
        <v>-2.24E-2</v>
      </c>
    </row>
    <row r="81" spans="1:6" ht="14.25" customHeight="1" x14ac:dyDescent="0.25">
      <c r="A81" s="1">
        <v>6.9999999999999999E-4</v>
      </c>
      <c r="B81" s="1">
        <v>-1.52E-2</v>
      </c>
      <c r="C81" s="1">
        <v>1.0800000000000001E-2</v>
      </c>
      <c r="D81" s="1">
        <v>1.1000000000000001E-3</v>
      </c>
      <c r="E81" s="3">
        <v>38230</v>
      </c>
      <c r="F81">
        <v>-1.55E-2</v>
      </c>
    </row>
    <row r="82" spans="1:6" ht="14.25" customHeight="1" x14ac:dyDescent="0.25">
      <c r="A82" s="1">
        <v>1.6E-2</v>
      </c>
      <c r="B82" s="1">
        <v>3.0099999999999998E-2</v>
      </c>
      <c r="C82" s="1">
        <v>-5.0000000000000001E-4</v>
      </c>
      <c r="D82" s="1">
        <v>1.1000000000000001E-3</v>
      </c>
      <c r="E82" s="3">
        <v>38260</v>
      </c>
      <c r="F82">
        <v>5.4800000000000001E-2</v>
      </c>
    </row>
    <row r="83" spans="1:6" ht="14.25" customHeight="1" x14ac:dyDescent="0.25">
      <c r="A83" s="1">
        <v>1.4200000000000001E-2</v>
      </c>
      <c r="B83" s="1">
        <v>1.2999999999999999E-3</v>
      </c>
      <c r="C83" s="1">
        <v>-2.5999999999999999E-3</v>
      </c>
      <c r="D83" s="1">
        <v>1.1000000000000001E-3</v>
      </c>
      <c r="E83" s="3">
        <v>38289</v>
      </c>
      <c r="F83">
        <v>-1.43E-2</v>
      </c>
    </row>
    <row r="84" spans="1:6" ht="14.25" customHeight="1" x14ac:dyDescent="0.25">
      <c r="A84" s="1">
        <v>4.53E-2</v>
      </c>
      <c r="B84" s="1">
        <v>3.7400000000000003E-2</v>
      </c>
      <c r="C84" s="1">
        <v>1.5699999999999999E-2</v>
      </c>
      <c r="D84" s="1">
        <v>1.5E-3</v>
      </c>
      <c r="E84" s="3">
        <v>38321</v>
      </c>
      <c r="F84">
        <v>3.0800000000000001E-2</v>
      </c>
    </row>
    <row r="85" spans="1:6" ht="14.25" customHeight="1" x14ac:dyDescent="0.25">
      <c r="A85" s="1">
        <v>3.4200000000000001E-2</v>
      </c>
      <c r="B85" s="1">
        <v>-2.9999999999999997E-4</v>
      </c>
      <c r="C85" s="1">
        <v>-2.3E-3</v>
      </c>
      <c r="D85" s="1">
        <v>1.6000000000000001E-3</v>
      </c>
      <c r="E85" s="3">
        <v>38352</v>
      </c>
      <c r="F85">
        <v>-2.8500000000000001E-2</v>
      </c>
    </row>
    <row r="86" spans="1:6" ht="14.25" customHeight="1" x14ac:dyDescent="0.25">
      <c r="A86" s="1">
        <v>-2.75E-2</v>
      </c>
      <c r="B86" s="1">
        <v>-1.66E-2</v>
      </c>
      <c r="C86" s="1">
        <v>2.06E-2</v>
      </c>
      <c r="D86" s="1">
        <v>1.6000000000000001E-3</v>
      </c>
      <c r="E86" s="3">
        <v>38383</v>
      </c>
      <c r="F86">
        <v>2.9600000000000001E-2</v>
      </c>
    </row>
    <row r="87" spans="1:6" ht="14.25" customHeight="1" x14ac:dyDescent="0.25">
      <c r="A87" s="1">
        <v>1.8800000000000001E-2</v>
      </c>
      <c r="B87" s="1">
        <v>-5.7000000000000002E-3</v>
      </c>
      <c r="C87" s="1">
        <v>1.41E-2</v>
      </c>
      <c r="D87" s="1">
        <v>1.6000000000000001E-3</v>
      </c>
      <c r="E87" s="3">
        <v>38411</v>
      </c>
      <c r="F87">
        <v>3.4299999999999997E-2</v>
      </c>
    </row>
    <row r="88" spans="1:6" ht="14.25" customHeight="1" x14ac:dyDescent="0.25">
      <c r="A88" s="1">
        <v>-1.9400000000000001E-2</v>
      </c>
      <c r="B88" s="1">
        <v>-1.41E-2</v>
      </c>
      <c r="C88" s="1">
        <v>2.07E-2</v>
      </c>
      <c r="D88" s="1">
        <v>2.0999999999999999E-3</v>
      </c>
      <c r="E88" s="3">
        <v>38442</v>
      </c>
      <c r="F88">
        <v>4.3E-3</v>
      </c>
    </row>
    <row r="89" spans="1:6" ht="14.25" customHeight="1" x14ac:dyDescent="0.25">
      <c r="A89" s="1">
        <v>-2.6100000000000002E-2</v>
      </c>
      <c r="B89" s="1">
        <v>-3.9300000000000002E-2</v>
      </c>
      <c r="C89" s="1">
        <v>5.0000000000000001E-4</v>
      </c>
      <c r="D89" s="1">
        <v>2.0999999999999999E-3</v>
      </c>
      <c r="E89" s="3">
        <v>38471</v>
      </c>
      <c r="F89">
        <v>-6.7999999999999996E-3</v>
      </c>
    </row>
    <row r="90" spans="1:6" ht="14.25" customHeight="1" x14ac:dyDescent="0.25">
      <c r="A90" s="1">
        <v>3.6499999999999998E-2</v>
      </c>
      <c r="B90" s="1">
        <v>2.86E-2</v>
      </c>
      <c r="C90" s="1">
        <v>-5.7999999999999996E-3</v>
      </c>
      <c r="D90" s="1">
        <v>2.3999999999999998E-3</v>
      </c>
      <c r="E90" s="3">
        <v>38503</v>
      </c>
      <c r="F90">
        <v>3.7000000000000002E-3</v>
      </c>
    </row>
    <row r="91" spans="1:6" ht="14.25" customHeight="1" x14ac:dyDescent="0.25">
      <c r="A91" s="1">
        <v>5.7999999999999996E-3</v>
      </c>
      <c r="B91" s="1">
        <v>2.5600000000000001E-2</v>
      </c>
      <c r="C91" s="1">
        <v>2.8000000000000001E-2</v>
      </c>
      <c r="D91" s="1">
        <v>2.3E-3</v>
      </c>
      <c r="E91" s="3">
        <v>38533</v>
      </c>
      <c r="F91">
        <v>2.07E-2</v>
      </c>
    </row>
    <row r="92" spans="1:6" ht="14.25" customHeight="1" x14ac:dyDescent="0.25">
      <c r="A92" s="1">
        <v>3.9199999999999999E-2</v>
      </c>
      <c r="B92" s="1">
        <v>2.87E-2</v>
      </c>
      <c r="C92" s="1">
        <v>-7.7999999999999996E-3</v>
      </c>
      <c r="D92" s="1">
        <v>2.3999999999999998E-3</v>
      </c>
      <c r="E92" s="3">
        <v>38562</v>
      </c>
      <c r="F92">
        <v>2.9999999999999997E-4</v>
      </c>
    </row>
    <row r="93" spans="1:6" ht="14.25" customHeight="1" x14ac:dyDescent="0.25">
      <c r="A93" s="1">
        <v>-1.2E-2</v>
      </c>
      <c r="B93" s="1">
        <v>-1.0699999999999999E-2</v>
      </c>
      <c r="C93" s="1">
        <v>1.34E-2</v>
      </c>
      <c r="D93" s="1">
        <v>3.0000000000000001E-3</v>
      </c>
      <c r="E93" s="3">
        <v>38595</v>
      </c>
      <c r="F93">
        <v>2.07E-2</v>
      </c>
    </row>
    <row r="94" spans="1:6" ht="14.25" customHeight="1" x14ac:dyDescent="0.25">
      <c r="A94" s="1">
        <v>4.7999999999999996E-3</v>
      </c>
      <c r="B94" s="1">
        <v>-6.1999999999999998E-3</v>
      </c>
      <c r="C94" s="1">
        <v>7.7999999999999996E-3</v>
      </c>
      <c r="D94" s="1">
        <v>2.8999999999999998E-3</v>
      </c>
      <c r="E94" s="3">
        <v>38625</v>
      </c>
      <c r="F94">
        <v>3.4599999999999999E-2</v>
      </c>
    </row>
    <row r="95" spans="1:6" ht="14.25" customHeight="1" x14ac:dyDescent="0.25">
      <c r="A95" s="1">
        <v>-2.0400000000000001E-2</v>
      </c>
      <c r="B95" s="1">
        <v>-1.2999999999999999E-2</v>
      </c>
      <c r="C95" s="1">
        <v>4.3E-3</v>
      </c>
      <c r="D95" s="1">
        <v>2.7000000000000001E-3</v>
      </c>
      <c r="E95" s="3">
        <v>38656</v>
      </c>
      <c r="F95">
        <v>-1.1900000000000001E-2</v>
      </c>
    </row>
    <row r="96" spans="1:6" ht="14.25" customHeight="1" x14ac:dyDescent="0.25">
      <c r="A96" s="1">
        <v>3.61E-2</v>
      </c>
      <c r="B96" s="1">
        <v>1.0500000000000001E-2</v>
      </c>
      <c r="C96" s="1">
        <v>-1.1900000000000001E-2</v>
      </c>
      <c r="D96" s="1">
        <v>3.0999999999999999E-3</v>
      </c>
      <c r="E96" s="3">
        <v>38686</v>
      </c>
      <c r="F96">
        <v>3.3999999999999998E-3</v>
      </c>
    </row>
    <row r="97" spans="1:6" ht="14.25" customHeight="1" x14ac:dyDescent="0.25">
      <c r="A97" s="1">
        <v>-2.3999999999999998E-3</v>
      </c>
      <c r="B97" s="1">
        <v>-4.4000000000000003E-3</v>
      </c>
      <c r="C97" s="1">
        <v>1.5E-3</v>
      </c>
      <c r="D97" s="1">
        <v>3.2000000000000002E-3</v>
      </c>
      <c r="E97" s="3">
        <v>38716</v>
      </c>
      <c r="F97">
        <v>7.7999999999999996E-3</v>
      </c>
    </row>
    <row r="98" spans="1:6" ht="14.25" customHeight="1" x14ac:dyDescent="0.25">
      <c r="A98" s="1">
        <v>3.0300000000000001E-2</v>
      </c>
      <c r="B98" s="1">
        <v>5.4600000000000003E-2</v>
      </c>
      <c r="C98" s="1">
        <v>9.9000000000000008E-3</v>
      </c>
      <c r="D98" s="1">
        <v>3.5000000000000001E-3</v>
      </c>
      <c r="E98" s="3">
        <v>38748</v>
      </c>
      <c r="F98">
        <v>2.52E-2</v>
      </c>
    </row>
    <row r="99" spans="1:6" ht="14.25" customHeight="1" x14ac:dyDescent="0.25">
      <c r="A99" s="1">
        <v>-3.0000000000000001E-3</v>
      </c>
      <c r="B99" s="1">
        <v>-4.1000000000000003E-3</v>
      </c>
      <c r="C99" s="1">
        <v>-3.0999999999999999E-3</v>
      </c>
      <c r="D99" s="1">
        <v>3.3999999999999998E-3</v>
      </c>
      <c r="E99" s="3">
        <v>38776</v>
      </c>
      <c r="F99">
        <v>-1.78E-2</v>
      </c>
    </row>
    <row r="100" spans="1:6" ht="14.25" customHeight="1" x14ac:dyDescent="0.25">
      <c r="A100" s="1">
        <v>1.47E-2</v>
      </c>
      <c r="B100" s="1">
        <v>3.39E-2</v>
      </c>
      <c r="C100" s="1">
        <v>6.1000000000000004E-3</v>
      </c>
      <c r="D100" s="1">
        <v>3.7000000000000002E-3</v>
      </c>
      <c r="E100" s="3">
        <v>38807</v>
      </c>
      <c r="F100">
        <v>1.26E-2</v>
      </c>
    </row>
    <row r="101" spans="1:6" ht="14.25" customHeight="1" x14ac:dyDescent="0.25">
      <c r="A101" s="1">
        <v>7.3000000000000001E-3</v>
      </c>
      <c r="B101" s="1">
        <v>-1.38E-2</v>
      </c>
      <c r="C101" s="1">
        <v>2.2599999999999999E-2</v>
      </c>
      <c r="D101" s="1">
        <v>3.5999999999999999E-3</v>
      </c>
      <c r="E101" s="3">
        <v>38835</v>
      </c>
      <c r="F101">
        <v>6.0000000000000001E-3</v>
      </c>
    </row>
    <row r="102" spans="1:6" ht="14.25" customHeight="1" x14ac:dyDescent="0.25">
      <c r="A102" s="1">
        <v>-3.56E-2</v>
      </c>
      <c r="B102" s="1">
        <v>-3.0099999999999998E-2</v>
      </c>
      <c r="C102" s="1">
        <v>2.3800000000000002E-2</v>
      </c>
      <c r="D102" s="1">
        <v>4.3E-3</v>
      </c>
      <c r="E102" s="3">
        <v>38868</v>
      </c>
      <c r="F102">
        <v>-3.6600000000000001E-2</v>
      </c>
    </row>
    <row r="103" spans="1:6" ht="14.25" customHeight="1" x14ac:dyDescent="0.25">
      <c r="A103" s="1">
        <v>-3.5000000000000001E-3</v>
      </c>
      <c r="B103" s="1">
        <v>-3.5000000000000001E-3</v>
      </c>
      <c r="C103" s="1">
        <v>8.5000000000000006E-3</v>
      </c>
      <c r="D103" s="1">
        <v>4.0000000000000001E-3</v>
      </c>
      <c r="E103" s="3">
        <v>38898</v>
      </c>
      <c r="F103">
        <v>1.55E-2</v>
      </c>
    </row>
    <row r="104" spans="1:6" ht="14.25" customHeight="1" x14ac:dyDescent="0.25">
      <c r="A104" s="1">
        <v>-7.7000000000000002E-3</v>
      </c>
      <c r="B104" s="1">
        <v>-3.95E-2</v>
      </c>
      <c r="C104" s="1">
        <v>2.6200000000000001E-2</v>
      </c>
      <c r="D104" s="1">
        <v>4.0000000000000001E-3</v>
      </c>
      <c r="E104" s="3">
        <v>38929</v>
      </c>
      <c r="F104">
        <v>-2.0400000000000001E-2</v>
      </c>
    </row>
    <row r="105" spans="1:6" ht="14.25" customHeight="1" x14ac:dyDescent="0.25">
      <c r="A105" s="1">
        <v>2.0299999999999999E-2</v>
      </c>
      <c r="B105" s="1">
        <v>9.9000000000000008E-3</v>
      </c>
      <c r="C105" s="1">
        <v>-1.95E-2</v>
      </c>
      <c r="D105" s="1">
        <v>4.1999999999999997E-3</v>
      </c>
      <c r="E105" s="3">
        <v>38960</v>
      </c>
      <c r="F105">
        <v>-3.3599999999999998E-2</v>
      </c>
    </row>
    <row r="106" spans="1:6" ht="14.25" customHeight="1" x14ac:dyDescent="0.25">
      <c r="A106" s="1">
        <v>1.84E-2</v>
      </c>
      <c r="B106" s="1">
        <v>-1.2999999999999999E-2</v>
      </c>
      <c r="C106" s="1">
        <v>5.9999999999999995E-4</v>
      </c>
      <c r="D106" s="1">
        <v>4.1000000000000003E-3</v>
      </c>
      <c r="E106" s="3">
        <v>38989</v>
      </c>
      <c r="F106">
        <v>-9.7999999999999997E-3</v>
      </c>
    </row>
    <row r="107" spans="1:6" ht="14.25" customHeight="1" x14ac:dyDescent="0.25">
      <c r="A107" s="1">
        <v>3.2199999999999999E-2</v>
      </c>
      <c r="B107" s="1">
        <v>1.77E-2</v>
      </c>
      <c r="C107" s="1">
        <v>-3.3E-3</v>
      </c>
      <c r="D107" s="1">
        <v>4.1000000000000003E-3</v>
      </c>
      <c r="E107" s="3">
        <v>39021</v>
      </c>
      <c r="F107">
        <v>-2.5000000000000001E-3</v>
      </c>
    </row>
    <row r="108" spans="1:6" ht="14.25" customHeight="1" x14ac:dyDescent="0.25">
      <c r="A108" s="1">
        <v>1.7000000000000001E-2</v>
      </c>
      <c r="B108" s="1">
        <v>6.3E-3</v>
      </c>
      <c r="C108" s="1">
        <v>4.0000000000000002E-4</v>
      </c>
      <c r="D108" s="1">
        <v>4.1999999999999997E-3</v>
      </c>
      <c r="E108" s="3">
        <v>39051</v>
      </c>
      <c r="F108">
        <v>-1.04E-2</v>
      </c>
    </row>
    <row r="109" spans="1:6" ht="14.25" customHeight="1" x14ac:dyDescent="0.25">
      <c r="A109" s="1">
        <v>8.5000000000000006E-3</v>
      </c>
      <c r="B109" s="1">
        <v>-1.1599999999999999E-2</v>
      </c>
      <c r="C109" s="1">
        <v>2.7400000000000001E-2</v>
      </c>
      <c r="D109" s="1">
        <v>4.0000000000000001E-3</v>
      </c>
      <c r="E109" s="3">
        <v>39080</v>
      </c>
      <c r="F109">
        <v>7.9000000000000008E-3</v>
      </c>
    </row>
    <row r="110" spans="1:6" ht="14.25" customHeight="1" x14ac:dyDescent="0.25">
      <c r="A110" s="1">
        <v>1.38E-2</v>
      </c>
      <c r="B110" s="1">
        <v>8.9999999999999998E-4</v>
      </c>
      <c r="C110" s="1">
        <v>-6.7999999999999996E-3</v>
      </c>
      <c r="D110" s="1">
        <v>4.4000000000000003E-3</v>
      </c>
      <c r="E110" s="3">
        <v>39113</v>
      </c>
      <c r="F110">
        <v>1.6999999999999999E-3</v>
      </c>
    </row>
    <row r="111" spans="1:6" ht="14.25" customHeight="1" x14ac:dyDescent="0.25">
      <c r="A111" s="1">
        <v>-1.9599999999999999E-2</v>
      </c>
      <c r="B111" s="1">
        <v>1.23E-2</v>
      </c>
      <c r="C111" s="1">
        <v>-8.0000000000000004E-4</v>
      </c>
      <c r="D111" s="1">
        <v>3.8E-3</v>
      </c>
      <c r="E111" s="3">
        <v>39141</v>
      </c>
      <c r="F111">
        <v>-1.29E-2</v>
      </c>
    </row>
    <row r="112" spans="1:6" ht="14.25" customHeight="1" x14ac:dyDescent="0.25">
      <c r="A112" s="1">
        <v>7.1000000000000004E-3</v>
      </c>
      <c r="B112" s="1">
        <v>8.9999999999999998E-4</v>
      </c>
      <c r="C112" s="1">
        <v>-8.8000000000000005E-3</v>
      </c>
      <c r="D112" s="1">
        <v>4.3E-3</v>
      </c>
      <c r="E112" s="3">
        <v>39171</v>
      </c>
      <c r="F112">
        <v>2.58E-2</v>
      </c>
    </row>
    <row r="113" spans="1:6" ht="14.25" customHeight="1" x14ac:dyDescent="0.25">
      <c r="A113" s="1">
        <v>3.49E-2</v>
      </c>
      <c r="B113" s="1">
        <v>-2.2100000000000002E-2</v>
      </c>
      <c r="C113" s="1">
        <v>-1.44E-2</v>
      </c>
      <c r="D113" s="1">
        <v>4.4000000000000003E-3</v>
      </c>
      <c r="E113" s="3">
        <v>39202</v>
      </c>
      <c r="F113">
        <v>-1.6000000000000001E-3</v>
      </c>
    </row>
    <row r="114" spans="1:6" ht="14.25" customHeight="1" x14ac:dyDescent="0.25">
      <c r="A114" s="1">
        <v>3.2300000000000002E-2</v>
      </c>
      <c r="B114" s="1">
        <v>1.6000000000000001E-3</v>
      </c>
      <c r="C114" s="1">
        <v>-5.8999999999999999E-3</v>
      </c>
      <c r="D114" s="1">
        <v>4.1000000000000003E-3</v>
      </c>
      <c r="E114" s="3">
        <v>39233</v>
      </c>
      <c r="F114">
        <v>-3.3E-3</v>
      </c>
    </row>
    <row r="115" spans="1:6" ht="14.25" customHeight="1" x14ac:dyDescent="0.25">
      <c r="A115" s="1">
        <v>-1.9599999999999999E-2</v>
      </c>
      <c r="B115" s="1">
        <v>7.3000000000000001E-3</v>
      </c>
      <c r="C115" s="1">
        <v>-1.0500000000000001E-2</v>
      </c>
      <c r="D115" s="1">
        <v>4.0000000000000001E-3</v>
      </c>
      <c r="E115" s="3">
        <v>39262</v>
      </c>
      <c r="F115">
        <v>5.1999999999999998E-3</v>
      </c>
    </row>
    <row r="116" spans="1:6" ht="14.25" customHeight="1" x14ac:dyDescent="0.25">
      <c r="A116" s="1">
        <v>-3.7199999999999997E-2</v>
      </c>
      <c r="B116" s="1">
        <v>-2.6599999999999999E-2</v>
      </c>
      <c r="C116" s="1">
        <v>-3.6799999999999999E-2</v>
      </c>
      <c r="D116" s="1">
        <v>4.0000000000000001E-3</v>
      </c>
      <c r="E116" s="3">
        <v>39294</v>
      </c>
      <c r="F116">
        <v>2.8400000000000002E-2</v>
      </c>
    </row>
    <row r="117" spans="1:6" ht="14.25" customHeight="1" x14ac:dyDescent="0.25">
      <c r="A117" s="1">
        <v>9.4000000000000004E-3</v>
      </c>
      <c r="B117" s="1">
        <v>-1.1000000000000001E-3</v>
      </c>
      <c r="C117" s="1">
        <v>-1.8700000000000001E-2</v>
      </c>
      <c r="D117" s="1">
        <v>4.1999999999999997E-3</v>
      </c>
      <c r="E117" s="3">
        <v>39325</v>
      </c>
      <c r="F117">
        <v>-2.9999999999999997E-4</v>
      </c>
    </row>
    <row r="118" spans="1:6" ht="14.25" customHeight="1" x14ac:dyDescent="0.25">
      <c r="A118" s="1">
        <v>3.2199999999999999E-2</v>
      </c>
      <c r="B118" s="1">
        <v>-2.2499999999999999E-2</v>
      </c>
      <c r="C118" s="1">
        <v>-2.1700000000000001E-2</v>
      </c>
      <c r="D118" s="1">
        <v>3.2000000000000002E-3</v>
      </c>
      <c r="E118" s="3">
        <v>39353</v>
      </c>
      <c r="F118">
        <v>4.4299999999999999E-2</v>
      </c>
    </row>
    <row r="119" spans="1:6" ht="14.25" customHeight="1" x14ac:dyDescent="0.25">
      <c r="A119" s="1">
        <v>1.7899999999999999E-2</v>
      </c>
      <c r="B119" s="1">
        <v>1.9E-3</v>
      </c>
      <c r="C119" s="1">
        <v>-2.87E-2</v>
      </c>
      <c r="D119" s="1">
        <v>3.2000000000000002E-3</v>
      </c>
      <c r="E119" s="3">
        <v>39386</v>
      </c>
      <c r="F119">
        <v>5.0299999999999997E-2</v>
      </c>
    </row>
    <row r="120" spans="1:6" ht="14.25" customHeight="1" x14ac:dyDescent="0.25">
      <c r="A120" s="1">
        <v>-4.8000000000000001E-2</v>
      </c>
      <c r="B120" s="1">
        <v>-2.81E-2</v>
      </c>
      <c r="C120" s="1">
        <v>-1.09E-2</v>
      </c>
      <c r="D120" s="1">
        <v>3.3999999999999998E-3</v>
      </c>
      <c r="E120" s="3">
        <v>39416</v>
      </c>
      <c r="F120">
        <v>1.12E-2</v>
      </c>
    </row>
    <row r="121" spans="1:6" ht="14.25" customHeight="1" x14ac:dyDescent="0.25">
      <c r="A121" s="1">
        <v>-8.6999999999999994E-3</v>
      </c>
      <c r="B121" s="1">
        <v>1.1000000000000001E-3</v>
      </c>
      <c r="C121" s="1">
        <v>-5.1000000000000004E-3</v>
      </c>
      <c r="D121" s="1">
        <v>2.7000000000000001E-3</v>
      </c>
      <c r="E121" s="3">
        <v>39447</v>
      </c>
      <c r="F121">
        <v>6.5600000000000006E-2</v>
      </c>
    </row>
    <row r="122" spans="1:6" ht="14.25" customHeight="1" x14ac:dyDescent="0.25">
      <c r="A122" s="1">
        <v>-6.3299999999999995E-2</v>
      </c>
      <c r="B122" s="1">
        <v>-1.0200000000000001E-2</v>
      </c>
      <c r="C122" s="1">
        <v>0.04</v>
      </c>
      <c r="D122" s="1">
        <v>2.0999999999999999E-3</v>
      </c>
      <c r="E122" s="3">
        <v>39478</v>
      </c>
      <c r="F122">
        <v>-7.7399999999999997E-2</v>
      </c>
    </row>
    <row r="123" spans="1:6" ht="14.25" customHeight="1" x14ac:dyDescent="0.25">
      <c r="A123" s="1">
        <v>-3.09E-2</v>
      </c>
      <c r="B123" s="1">
        <v>-4.7999999999999996E-3</v>
      </c>
      <c r="C123" s="1">
        <v>-7.1999999999999998E-3</v>
      </c>
      <c r="D123" s="1">
        <v>1.2999999999999999E-3</v>
      </c>
      <c r="E123" s="3">
        <v>39507</v>
      </c>
      <c r="F123">
        <v>6.13E-2</v>
      </c>
    </row>
    <row r="124" spans="1:6" ht="14.25" customHeight="1" x14ac:dyDescent="0.25">
      <c r="A124" s="1">
        <v>-9.4000000000000004E-3</v>
      </c>
      <c r="B124" s="1">
        <v>7.1000000000000004E-3</v>
      </c>
      <c r="C124" s="1">
        <v>3.0999999999999999E-3</v>
      </c>
      <c r="D124" s="1">
        <v>1.6999999999999999E-3</v>
      </c>
      <c r="E124" s="3">
        <v>39538</v>
      </c>
      <c r="F124">
        <v>4.2500000000000003E-2</v>
      </c>
    </row>
    <row r="125" spans="1:6" ht="14.25" customHeight="1" x14ac:dyDescent="0.25">
      <c r="A125" s="1">
        <v>4.6100000000000002E-2</v>
      </c>
      <c r="B125" s="1">
        <v>-1.6899999999999998E-2</v>
      </c>
      <c r="C125" s="1">
        <v>-9.5999999999999992E-3</v>
      </c>
      <c r="D125" s="1">
        <v>1.8E-3</v>
      </c>
      <c r="E125" s="3">
        <v>39568</v>
      </c>
      <c r="F125">
        <v>-3.3E-3</v>
      </c>
    </row>
    <row r="126" spans="1:6" ht="14.25" customHeight="1" x14ac:dyDescent="0.25">
      <c r="A126" s="1">
        <v>1.8700000000000001E-2</v>
      </c>
      <c r="B126" s="1">
        <v>2.9700000000000001E-2</v>
      </c>
      <c r="C126" s="1">
        <v>-1.4999999999999999E-2</v>
      </c>
      <c r="D126" s="1">
        <v>1.8E-3</v>
      </c>
      <c r="E126" s="3">
        <v>39598</v>
      </c>
      <c r="F126">
        <v>3.39E-2</v>
      </c>
    </row>
    <row r="127" spans="1:6" ht="14.25" customHeight="1" x14ac:dyDescent="0.25">
      <c r="A127" s="1">
        <v>-8.43E-2</v>
      </c>
      <c r="B127" s="1">
        <v>1.15E-2</v>
      </c>
      <c r="C127" s="1">
        <v>-2.5100000000000001E-2</v>
      </c>
      <c r="D127" s="1">
        <v>1.6999999999999999E-3</v>
      </c>
      <c r="E127" s="3">
        <v>39629</v>
      </c>
      <c r="F127">
        <v>0.12709999999999999</v>
      </c>
    </row>
    <row r="128" spans="1:6" ht="14.25" customHeight="1" x14ac:dyDescent="0.25">
      <c r="A128" s="1">
        <v>-7.4999999999999997E-3</v>
      </c>
      <c r="B128" s="1">
        <v>2.5999999999999999E-2</v>
      </c>
      <c r="C128" s="1">
        <v>5.1999999999999998E-2</v>
      </c>
      <c r="D128" s="1">
        <v>1.5E-3</v>
      </c>
      <c r="E128" s="3">
        <v>39660</v>
      </c>
      <c r="F128">
        <v>-5.0200000000000002E-2</v>
      </c>
    </row>
    <row r="129" spans="1:6" ht="14.25" customHeight="1" x14ac:dyDescent="0.25">
      <c r="A129" s="1">
        <v>1.5299999999999999E-2</v>
      </c>
      <c r="B129" s="1">
        <v>3.4000000000000002E-2</v>
      </c>
      <c r="C129" s="1">
        <v>1.52E-2</v>
      </c>
      <c r="D129" s="1">
        <v>1.2999999999999999E-3</v>
      </c>
      <c r="E129" s="3">
        <v>39689</v>
      </c>
      <c r="F129">
        <v>-4.48E-2</v>
      </c>
    </row>
    <row r="130" spans="1:6" ht="14.25" customHeight="1" x14ac:dyDescent="0.25">
      <c r="A130" s="1">
        <v>-9.35E-2</v>
      </c>
      <c r="B130" s="1">
        <v>-1.0699999999999999E-2</v>
      </c>
      <c r="C130" s="1">
        <v>5.6599999999999998E-2</v>
      </c>
      <c r="D130" s="1">
        <v>1.5E-3</v>
      </c>
      <c r="E130" s="3">
        <v>39721</v>
      </c>
      <c r="F130">
        <v>8.6E-3</v>
      </c>
    </row>
    <row r="131" spans="1:6" ht="14.25" customHeight="1" x14ac:dyDescent="0.25">
      <c r="A131" s="1">
        <v>-0.17199999999999999</v>
      </c>
      <c r="B131" s="1">
        <v>-2.3099999999999999E-2</v>
      </c>
      <c r="C131" s="1">
        <v>-1.89E-2</v>
      </c>
      <c r="D131" s="1">
        <v>8.0000000000000004E-4</v>
      </c>
      <c r="E131" s="3">
        <v>39752</v>
      </c>
      <c r="F131">
        <v>7.8700000000000006E-2</v>
      </c>
    </row>
    <row r="132" spans="1:6" ht="14.25" customHeight="1" x14ac:dyDescent="0.25">
      <c r="A132" s="1">
        <v>-7.7399999999999997E-2</v>
      </c>
      <c r="B132" s="1">
        <v>-3.0099999999999998E-2</v>
      </c>
      <c r="C132" s="1">
        <v>-6.2100000000000002E-2</v>
      </c>
      <c r="D132" s="1">
        <v>2.9999999999999997E-4</v>
      </c>
      <c r="E132" s="3">
        <v>39780</v>
      </c>
      <c r="F132">
        <v>7.2800000000000004E-2</v>
      </c>
    </row>
    <row r="133" spans="1:6" ht="14.25" customHeight="1" x14ac:dyDescent="0.25">
      <c r="A133" s="1">
        <v>1.77E-2</v>
      </c>
      <c r="B133" s="1">
        <v>3.5200000000000002E-2</v>
      </c>
      <c r="C133" s="1">
        <v>5.0000000000000001E-4</v>
      </c>
      <c r="D133" s="1">
        <v>0</v>
      </c>
      <c r="E133" s="3">
        <v>39813</v>
      </c>
      <c r="F133">
        <v>-5.0900000000000001E-2</v>
      </c>
    </row>
    <row r="134" spans="1:6" ht="14.25" customHeight="1" x14ac:dyDescent="0.25">
      <c r="A134" s="1">
        <v>-8.09E-2</v>
      </c>
      <c r="B134" s="1">
        <v>4.0000000000000002E-4</v>
      </c>
      <c r="C134" s="1">
        <v>-0.11020000000000001</v>
      </c>
      <c r="D134" s="1">
        <v>0</v>
      </c>
      <c r="E134" s="3">
        <v>39843</v>
      </c>
      <c r="F134">
        <v>-2.3599999999999999E-2</v>
      </c>
    </row>
    <row r="135" spans="1:6" ht="14.25" customHeight="1" x14ac:dyDescent="0.25">
      <c r="A135" s="1">
        <v>-0.1014</v>
      </c>
      <c r="B135" s="1">
        <v>1.4E-3</v>
      </c>
      <c r="C135" s="1">
        <v>-6.6000000000000003E-2</v>
      </c>
      <c r="D135" s="1">
        <v>1E-4</v>
      </c>
      <c r="E135" s="3">
        <v>39871</v>
      </c>
      <c r="F135">
        <v>4.36E-2</v>
      </c>
    </row>
    <row r="136" spans="1:6" ht="14.25" customHeight="1" x14ac:dyDescent="0.25">
      <c r="A136" s="1">
        <v>9.01E-2</v>
      </c>
      <c r="B136" s="1">
        <v>-1E-3</v>
      </c>
      <c r="C136" s="1">
        <v>3.4799999999999998E-2</v>
      </c>
      <c r="D136" s="1">
        <v>2.0000000000000001E-4</v>
      </c>
      <c r="E136" s="3">
        <v>39903</v>
      </c>
      <c r="F136">
        <v>-0.1183</v>
      </c>
    </row>
    <row r="137" spans="1:6" ht="14.25" customHeight="1" x14ac:dyDescent="0.25">
      <c r="A137" s="1">
        <v>0.1017</v>
      </c>
      <c r="B137" s="1">
        <v>5.3999999999999999E-2</v>
      </c>
      <c r="C137" s="1">
        <v>5.3800000000000001E-2</v>
      </c>
      <c r="D137" s="1">
        <v>1E-4</v>
      </c>
      <c r="E137" s="3">
        <v>39933</v>
      </c>
      <c r="F137">
        <v>-0.34339999999999998</v>
      </c>
    </row>
    <row r="138" spans="1:6" ht="14.25" customHeight="1" x14ac:dyDescent="0.25">
      <c r="A138" s="1">
        <v>5.21E-2</v>
      </c>
      <c r="B138" s="1">
        <v>-2.41E-2</v>
      </c>
      <c r="C138" s="1">
        <v>4.1000000000000003E-3</v>
      </c>
      <c r="D138" s="1">
        <v>0</v>
      </c>
      <c r="E138" s="3">
        <v>39962</v>
      </c>
      <c r="F138">
        <v>-0.12529999999999999</v>
      </c>
    </row>
    <row r="139" spans="1:6" ht="14.25" customHeight="1" x14ac:dyDescent="0.25">
      <c r="A139" s="1">
        <v>4.1999999999999997E-3</v>
      </c>
      <c r="B139" s="1">
        <v>2.58E-2</v>
      </c>
      <c r="C139" s="1">
        <v>-2.76E-2</v>
      </c>
      <c r="D139" s="1">
        <v>1E-4</v>
      </c>
      <c r="E139" s="3">
        <v>39994</v>
      </c>
      <c r="F139">
        <v>5.45E-2</v>
      </c>
    </row>
    <row r="140" spans="1:6" ht="14.25" customHeight="1" x14ac:dyDescent="0.25">
      <c r="A140" s="1">
        <v>7.7399999999999997E-2</v>
      </c>
      <c r="B140" s="1">
        <v>1.7500000000000002E-2</v>
      </c>
      <c r="C140" s="1">
        <v>4.8899999999999999E-2</v>
      </c>
      <c r="D140" s="1">
        <v>1E-4</v>
      </c>
      <c r="E140" s="3">
        <v>40025</v>
      </c>
      <c r="F140">
        <v>-5.5399999999999998E-2</v>
      </c>
    </row>
    <row r="141" spans="1:6" ht="14.25" customHeight="1" x14ac:dyDescent="0.25">
      <c r="A141" s="1">
        <v>3.3300000000000003E-2</v>
      </c>
      <c r="B141" s="1">
        <v>-1.12E-2</v>
      </c>
      <c r="C141" s="1">
        <v>7.5999999999999998E-2</v>
      </c>
      <c r="D141" s="1">
        <v>1E-4</v>
      </c>
      <c r="E141" s="3">
        <v>40056</v>
      </c>
      <c r="F141">
        <v>-9.0999999999999998E-2</v>
      </c>
    </row>
    <row r="142" spans="1:6" ht="14.25" customHeight="1" x14ac:dyDescent="0.25">
      <c r="A142" s="1">
        <v>4.0800000000000003E-2</v>
      </c>
      <c r="B142" s="1">
        <v>2.4299999999999999E-2</v>
      </c>
      <c r="C142" s="1">
        <v>1.15E-2</v>
      </c>
      <c r="D142" s="1">
        <v>1E-4</v>
      </c>
      <c r="E142" s="3">
        <v>40086</v>
      </c>
      <c r="F142">
        <v>-4.87E-2</v>
      </c>
    </row>
    <row r="143" spans="1:6" ht="14.25" customHeight="1" x14ac:dyDescent="0.25">
      <c r="A143" s="1">
        <v>-2.53E-2</v>
      </c>
      <c r="B143" s="1">
        <v>-4.2599999999999999E-2</v>
      </c>
      <c r="C143" s="1">
        <v>-4.1700000000000001E-2</v>
      </c>
      <c r="D143" s="1">
        <v>0</v>
      </c>
      <c r="E143" s="3">
        <v>40116</v>
      </c>
      <c r="F143">
        <v>2.4899999999999999E-2</v>
      </c>
    </row>
    <row r="144" spans="1:6" ht="14.25" customHeight="1" x14ac:dyDescent="0.25">
      <c r="A144" s="1">
        <v>5.6300000000000003E-2</v>
      </c>
      <c r="B144" s="1">
        <v>-2.5000000000000001E-2</v>
      </c>
      <c r="C144" s="1">
        <v>-3.3E-3</v>
      </c>
      <c r="D144" s="1">
        <v>0</v>
      </c>
      <c r="E144" s="3">
        <v>40147</v>
      </c>
      <c r="F144">
        <v>3.8999999999999998E-3</v>
      </c>
    </row>
    <row r="145" spans="1:6" ht="14.25" customHeight="1" x14ac:dyDescent="0.25">
      <c r="A145" s="1">
        <v>2.8000000000000001E-2</v>
      </c>
      <c r="B145" s="1">
        <v>6.0100000000000001E-2</v>
      </c>
      <c r="C145" s="1">
        <v>-1.1000000000000001E-3</v>
      </c>
      <c r="D145" s="1">
        <v>1E-4</v>
      </c>
      <c r="E145" s="3">
        <v>40178</v>
      </c>
      <c r="F145">
        <v>0.03</v>
      </c>
    </row>
    <row r="146" spans="1:6" ht="14.25" customHeight="1" x14ac:dyDescent="0.25">
      <c r="A146" s="1">
        <v>-3.3500000000000002E-2</v>
      </c>
      <c r="B146" s="1">
        <v>4.3E-3</v>
      </c>
      <c r="C146" s="1">
        <v>3.3E-3</v>
      </c>
      <c r="D146" s="1">
        <v>0</v>
      </c>
      <c r="E146" s="3">
        <v>40207</v>
      </c>
      <c r="F146">
        <v>-5.33E-2</v>
      </c>
    </row>
    <row r="147" spans="1:6" ht="14.25" customHeight="1" x14ac:dyDescent="0.25">
      <c r="A147" s="1">
        <v>3.39E-2</v>
      </c>
      <c r="B147" s="1">
        <v>1.18E-2</v>
      </c>
      <c r="C147" s="1">
        <v>3.1800000000000002E-2</v>
      </c>
      <c r="D147" s="1">
        <v>0</v>
      </c>
      <c r="E147" s="3">
        <v>40235</v>
      </c>
      <c r="F147">
        <v>3.6900000000000002E-2</v>
      </c>
    </row>
    <row r="148" spans="1:6" ht="14.25" customHeight="1" x14ac:dyDescent="0.25">
      <c r="A148" s="1">
        <v>6.3E-2</v>
      </c>
      <c r="B148" s="1">
        <v>1.46E-2</v>
      </c>
      <c r="C148" s="1">
        <v>2.1899999999999999E-2</v>
      </c>
      <c r="D148" s="1">
        <v>1E-4</v>
      </c>
      <c r="E148" s="3">
        <v>40268</v>
      </c>
      <c r="F148">
        <v>3.5700000000000003E-2</v>
      </c>
    </row>
    <row r="149" spans="1:6" ht="14.25" customHeight="1" x14ac:dyDescent="0.25">
      <c r="A149" s="1">
        <v>1.9900000000000001E-2</v>
      </c>
      <c r="B149" s="1">
        <v>4.8399999999999999E-2</v>
      </c>
      <c r="C149" s="1">
        <v>2.9600000000000001E-2</v>
      </c>
      <c r="D149" s="1">
        <v>1E-4</v>
      </c>
      <c r="E149" s="3">
        <v>40298</v>
      </c>
      <c r="F149">
        <v>3.1600000000000003E-2</v>
      </c>
    </row>
    <row r="150" spans="1:6" ht="14.25" customHeight="1" x14ac:dyDescent="0.25">
      <c r="A150" s="1">
        <v>-7.9000000000000001E-2</v>
      </c>
      <c r="B150" s="1">
        <v>1.2999999999999999E-3</v>
      </c>
      <c r="C150" s="1">
        <v>-2.4799999999999999E-2</v>
      </c>
      <c r="D150" s="1">
        <v>1E-4</v>
      </c>
      <c r="E150" s="3">
        <v>40326</v>
      </c>
      <c r="F150">
        <v>-2E-3</v>
      </c>
    </row>
    <row r="151" spans="1:6" ht="14.25" customHeight="1" x14ac:dyDescent="0.25">
      <c r="A151" s="1">
        <v>-5.5599999999999997E-2</v>
      </c>
      <c r="B151" s="1">
        <v>-1.7899999999999999E-2</v>
      </c>
      <c r="C151" s="1">
        <v>-4.7300000000000002E-2</v>
      </c>
      <c r="D151" s="1">
        <v>1E-4</v>
      </c>
      <c r="E151" s="3">
        <v>40359</v>
      </c>
      <c r="F151">
        <v>-2.7E-2</v>
      </c>
    </row>
    <row r="152" spans="1:6" ht="14.25" customHeight="1" x14ac:dyDescent="0.25">
      <c r="A152" s="1">
        <v>6.9199999999999998E-2</v>
      </c>
      <c r="B152" s="1">
        <v>2.2000000000000001E-3</v>
      </c>
      <c r="C152" s="1">
        <v>-5.0000000000000001E-3</v>
      </c>
      <c r="D152" s="1">
        <v>1E-4</v>
      </c>
      <c r="E152" s="3">
        <v>40389</v>
      </c>
      <c r="F152">
        <v>1.78E-2</v>
      </c>
    </row>
    <row r="153" spans="1:6" ht="14.25" customHeight="1" x14ac:dyDescent="0.25">
      <c r="A153" s="1">
        <v>-4.7800000000000002E-2</v>
      </c>
      <c r="B153" s="1">
        <v>-3.0099999999999998E-2</v>
      </c>
      <c r="C153" s="1">
        <v>-1.7299999999999999E-2</v>
      </c>
      <c r="D153" s="1">
        <v>1E-4</v>
      </c>
      <c r="E153" s="3">
        <v>40421</v>
      </c>
      <c r="F153">
        <v>4.0000000000000002E-4</v>
      </c>
    </row>
    <row r="154" spans="1:6" ht="14.25" customHeight="1" x14ac:dyDescent="0.25">
      <c r="A154" s="1">
        <v>9.5500000000000002E-2</v>
      </c>
      <c r="B154" s="1">
        <v>3.8199999999999998E-2</v>
      </c>
      <c r="C154" s="1">
        <v>-3.0200000000000001E-2</v>
      </c>
      <c r="D154" s="1">
        <v>1E-4</v>
      </c>
      <c r="E154" s="3">
        <v>40451</v>
      </c>
      <c r="F154">
        <v>1.38E-2</v>
      </c>
    </row>
    <row r="155" spans="1:6" ht="14.25" customHeight="1" x14ac:dyDescent="0.25">
      <c r="A155" s="1">
        <v>3.8699999999999998E-2</v>
      </c>
      <c r="B155" s="1">
        <v>1.0800000000000001E-2</v>
      </c>
      <c r="C155" s="1">
        <v>-2.46E-2</v>
      </c>
      <c r="D155" s="1">
        <v>1E-4</v>
      </c>
      <c r="E155" s="3">
        <v>40480</v>
      </c>
      <c r="F155">
        <v>1.46E-2</v>
      </c>
    </row>
    <row r="156" spans="1:6" ht="14.25" customHeight="1" x14ac:dyDescent="0.25">
      <c r="A156" s="1">
        <v>5.8999999999999999E-3</v>
      </c>
      <c r="B156" s="1">
        <v>3.6700000000000003E-2</v>
      </c>
      <c r="C156" s="1">
        <v>-8.9999999999999993E-3</v>
      </c>
      <c r="D156" s="1">
        <v>1E-4</v>
      </c>
      <c r="E156" s="3">
        <v>40512</v>
      </c>
      <c r="F156">
        <v>2.7300000000000001E-2</v>
      </c>
    </row>
    <row r="157" spans="1:6" ht="14.25" customHeight="1" x14ac:dyDescent="0.25">
      <c r="A157" s="1">
        <v>6.8199999999999997E-2</v>
      </c>
      <c r="B157" s="1">
        <v>7.1999999999999998E-3</v>
      </c>
      <c r="C157" s="1">
        <v>3.56E-2</v>
      </c>
      <c r="D157" s="1">
        <v>1E-4</v>
      </c>
      <c r="E157" s="3">
        <v>40543</v>
      </c>
      <c r="F157">
        <v>-0.03</v>
      </c>
    </row>
    <row r="158" spans="1:6" ht="14.25" customHeight="1" x14ac:dyDescent="0.25">
      <c r="A158" s="1">
        <v>1.9800000000000002E-2</v>
      </c>
      <c r="B158" s="1">
        <v>-2.29E-2</v>
      </c>
      <c r="C158" s="1">
        <v>6.1000000000000004E-3</v>
      </c>
      <c r="D158" s="1">
        <v>1E-4</v>
      </c>
      <c r="E158" s="3">
        <v>40574</v>
      </c>
      <c r="F158">
        <v>-3.0000000000000001E-3</v>
      </c>
    </row>
    <row r="159" spans="1:6" ht="14.25" customHeight="1" x14ac:dyDescent="0.25">
      <c r="A159" s="1">
        <v>3.4799999999999998E-2</v>
      </c>
      <c r="B159" s="1">
        <v>1.4999999999999999E-2</v>
      </c>
      <c r="C159" s="1">
        <v>1.18E-2</v>
      </c>
      <c r="D159" s="1">
        <v>1E-4</v>
      </c>
      <c r="E159" s="3">
        <v>40602</v>
      </c>
      <c r="F159">
        <v>1.8800000000000001E-2</v>
      </c>
    </row>
    <row r="160" spans="1:6" ht="14.25" customHeight="1" x14ac:dyDescent="0.25">
      <c r="A160" s="1">
        <v>4.4999999999999997E-3</v>
      </c>
      <c r="B160" s="1">
        <v>2.4899999999999999E-2</v>
      </c>
      <c r="C160" s="1">
        <v>-1.84E-2</v>
      </c>
      <c r="D160" s="1">
        <v>1E-4</v>
      </c>
      <c r="E160" s="3">
        <v>40633</v>
      </c>
      <c r="F160">
        <v>3.4500000000000003E-2</v>
      </c>
    </row>
    <row r="161" spans="1:6" ht="14.25" customHeight="1" x14ac:dyDescent="0.25">
      <c r="A161" s="1">
        <v>2.9000000000000001E-2</v>
      </c>
      <c r="B161" s="1">
        <v>-4.1999999999999997E-3</v>
      </c>
      <c r="C161" s="1">
        <v>-2.4400000000000002E-2</v>
      </c>
      <c r="D161" s="1">
        <v>0</v>
      </c>
      <c r="E161" s="3">
        <v>40662</v>
      </c>
      <c r="F161">
        <v>5.0000000000000001E-4</v>
      </c>
    </row>
    <row r="162" spans="1:6" ht="14.25" customHeight="1" x14ac:dyDescent="0.25">
      <c r="A162" s="1">
        <v>-1.2699999999999999E-2</v>
      </c>
      <c r="B162" s="1">
        <v>-7.3000000000000001E-3</v>
      </c>
      <c r="C162" s="1">
        <v>-1.8499999999999999E-2</v>
      </c>
      <c r="D162" s="1">
        <v>0</v>
      </c>
      <c r="E162" s="3">
        <v>40694</v>
      </c>
      <c r="F162">
        <v>-6.0000000000000001E-3</v>
      </c>
    </row>
    <row r="163" spans="1:6" ht="14.25" customHeight="1" x14ac:dyDescent="0.25">
      <c r="A163" s="1">
        <v>-1.7399999999999999E-2</v>
      </c>
      <c r="B163" s="1">
        <v>-2.7000000000000001E-3</v>
      </c>
      <c r="C163" s="1">
        <v>-2E-3</v>
      </c>
      <c r="D163" s="1">
        <v>0</v>
      </c>
      <c r="E163" s="3">
        <v>40724</v>
      </c>
      <c r="F163">
        <v>1.8200000000000001E-2</v>
      </c>
    </row>
    <row r="164" spans="1:6" ht="14.25" customHeight="1" x14ac:dyDescent="0.25">
      <c r="A164" s="1">
        <v>-2.35E-2</v>
      </c>
      <c r="B164" s="1">
        <v>-1.17E-2</v>
      </c>
      <c r="C164" s="1">
        <v>-9.1000000000000004E-3</v>
      </c>
      <c r="D164" s="1">
        <v>0</v>
      </c>
      <c r="E164" s="3">
        <v>40753</v>
      </c>
      <c r="F164">
        <v>2E-3</v>
      </c>
    </row>
    <row r="165" spans="1:6" ht="14.25" customHeight="1" x14ac:dyDescent="0.25">
      <c r="A165" s="1">
        <v>-5.96E-2</v>
      </c>
      <c r="B165" s="1">
        <v>-2.9600000000000001E-2</v>
      </c>
      <c r="C165" s="1">
        <v>-2.4299999999999999E-2</v>
      </c>
      <c r="D165" s="1">
        <v>1E-4</v>
      </c>
      <c r="E165" s="3">
        <v>40786</v>
      </c>
      <c r="F165">
        <v>-2.7000000000000001E-3</v>
      </c>
    </row>
    <row r="166" spans="1:6" ht="14.25" customHeight="1" x14ac:dyDescent="0.25">
      <c r="A166" s="1">
        <v>-7.5800000000000006E-2</v>
      </c>
      <c r="B166" s="1">
        <v>-3.1199999999999999E-2</v>
      </c>
      <c r="C166" s="1">
        <v>-1.5299999999999999E-2</v>
      </c>
      <c r="D166" s="1">
        <v>0</v>
      </c>
      <c r="E166" s="3">
        <v>40816</v>
      </c>
      <c r="F166">
        <v>-2.4E-2</v>
      </c>
    </row>
    <row r="167" spans="1:6" ht="14.25" customHeight="1" x14ac:dyDescent="0.25">
      <c r="A167" s="1">
        <v>0.1133</v>
      </c>
      <c r="B167" s="1">
        <v>3.0499999999999999E-2</v>
      </c>
      <c r="C167" s="1">
        <v>5.9999999999999995E-4</v>
      </c>
      <c r="D167" s="1">
        <v>0</v>
      </c>
      <c r="E167" s="3">
        <v>40847</v>
      </c>
      <c r="F167">
        <v>-1.4E-2</v>
      </c>
    </row>
    <row r="168" spans="1:6" ht="14.25" customHeight="1" x14ac:dyDescent="0.25">
      <c r="A168" s="1">
        <v>-2.7000000000000001E-3</v>
      </c>
      <c r="B168" s="1">
        <v>-1.8E-3</v>
      </c>
      <c r="C168" s="1">
        <v>-5.1999999999999998E-3</v>
      </c>
      <c r="D168" s="1">
        <v>0</v>
      </c>
      <c r="E168" s="3">
        <v>40877</v>
      </c>
      <c r="F168">
        <v>3.8800000000000001E-2</v>
      </c>
    </row>
    <row r="169" spans="1:6" ht="14.25" customHeight="1" x14ac:dyDescent="0.25">
      <c r="A169" s="1">
        <v>7.4999999999999997E-3</v>
      </c>
      <c r="B169" s="1">
        <v>-5.5999999999999999E-3</v>
      </c>
      <c r="C169" s="1">
        <v>1.54E-2</v>
      </c>
      <c r="D169" s="1">
        <v>0</v>
      </c>
      <c r="E169" s="3">
        <v>40907</v>
      </c>
      <c r="F169">
        <v>1.83E-2</v>
      </c>
    </row>
    <row r="170" spans="1:6" ht="14.25" customHeight="1" x14ac:dyDescent="0.25">
      <c r="A170" s="1">
        <v>5.0500000000000003E-2</v>
      </c>
      <c r="B170" s="1">
        <v>2.01E-2</v>
      </c>
      <c r="C170" s="1">
        <v>-9.2999999999999992E-3</v>
      </c>
      <c r="D170" s="1">
        <v>0</v>
      </c>
      <c r="E170" s="3">
        <v>40939</v>
      </c>
      <c r="F170">
        <v>-8.0100000000000005E-2</v>
      </c>
    </row>
    <row r="171" spans="1:6" ht="14.25" customHeight="1" x14ac:dyDescent="0.25">
      <c r="A171" s="1">
        <v>4.4200000000000003E-2</v>
      </c>
      <c r="B171" s="1">
        <v>-1.84E-2</v>
      </c>
      <c r="C171" s="1">
        <v>4.1999999999999997E-3</v>
      </c>
      <c r="D171" s="1">
        <v>0</v>
      </c>
      <c r="E171" s="3">
        <v>40968</v>
      </c>
      <c r="F171">
        <v>-2.5999999999999999E-3</v>
      </c>
    </row>
    <row r="172" spans="1:6" ht="14.25" customHeight="1" x14ac:dyDescent="0.25">
      <c r="A172" s="1">
        <v>3.1199999999999999E-2</v>
      </c>
      <c r="B172" s="1">
        <v>-6.3E-3</v>
      </c>
      <c r="C172" s="1">
        <v>1.1900000000000001E-2</v>
      </c>
      <c r="D172" s="1">
        <v>0</v>
      </c>
      <c r="E172" s="3">
        <v>40998</v>
      </c>
      <c r="F172">
        <v>1.3100000000000001E-2</v>
      </c>
    </row>
    <row r="173" spans="1:6" ht="14.25" customHeight="1" x14ac:dyDescent="0.25">
      <c r="A173" s="1">
        <v>-8.5000000000000006E-3</v>
      </c>
      <c r="B173" s="1">
        <v>-3.7000000000000002E-3</v>
      </c>
      <c r="C173" s="1">
        <v>-7.7000000000000002E-3</v>
      </c>
      <c r="D173" s="1">
        <v>0</v>
      </c>
      <c r="E173" s="3">
        <v>41029</v>
      </c>
      <c r="F173">
        <v>3.7199999999999997E-2</v>
      </c>
    </row>
    <row r="174" spans="1:6" ht="14.25" customHeight="1" x14ac:dyDescent="0.25">
      <c r="A174" s="1">
        <v>-6.1699999999999998E-2</v>
      </c>
      <c r="B174" s="1">
        <v>1.1999999999999999E-3</v>
      </c>
      <c r="C174" s="1">
        <v>-9.4999999999999998E-3</v>
      </c>
      <c r="D174" s="1">
        <v>1E-4</v>
      </c>
      <c r="E174" s="3">
        <v>41060</v>
      </c>
      <c r="F174">
        <v>6.4399999999999999E-2</v>
      </c>
    </row>
    <row r="175" spans="1:6" ht="14.25" customHeight="1" x14ac:dyDescent="0.25">
      <c r="A175" s="1">
        <v>3.8899999999999997E-2</v>
      </c>
      <c r="B175" s="1">
        <v>7.1999999999999998E-3</v>
      </c>
      <c r="C175" s="1">
        <v>5.4999999999999997E-3</v>
      </c>
      <c r="D175" s="1">
        <v>0</v>
      </c>
      <c r="E175" s="3">
        <v>41089</v>
      </c>
      <c r="F175">
        <v>-1.0999999999999999E-2</v>
      </c>
    </row>
    <row r="176" spans="1:6" ht="14.25" customHeight="1" x14ac:dyDescent="0.25">
      <c r="A176" s="1">
        <v>7.9000000000000008E-3</v>
      </c>
      <c r="B176" s="1">
        <v>-2.76E-2</v>
      </c>
      <c r="C176" s="1">
        <v>-5.9999999999999995E-4</v>
      </c>
      <c r="D176" s="1">
        <v>0</v>
      </c>
      <c r="E176" s="3">
        <v>41121</v>
      </c>
      <c r="F176">
        <v>0.03</v>
      </c>
    </row>
    <row r="177" spans="1:6" ht="14.25" customHeight="1" x14ac:dyDescent="0.25">
      <c r="A177" s="1">
        <v>2.5399999999999999E-2</v>
      </c>
      <c r="B177" s="1">
        <v>5.0000000000000001E-3</v>
      </c>
      <c r="C177" s="1">
        <v>1.23E-2</v>
      </c>
      <c r="D177" s="1">
        <v>1E-4</v>
      </c>
      <c r="E177" s="3">
        <v>41152</v>
      </c>
      <c r="F177">
        <v>-2.35E-2</v>
      </c>
    </row>
    <row r="178" spans="1:6" ht="14.25" customHeight="1" x14ac:dyDescent="0.25">
      <c r="A178" s="1">
        <v>2.7300000000000001E-2</v>
      </c>
      <c r="B178" s="1">
        <v>4.4999999999999997E-3</v>
      </c>
      <c r="C178" s="1">
        <v>1.6199999999999999E-2</v>
      </c>
      <c r="D178" s="1">
        <v>1E-4</v>
      </c>
      <c r="E178" s="3">
        <v>41180</v>
      </c>
      <c r="F178">
        <v>-1.1299999999999999E-2</v>
      </c>
    </row>
    <row r="179" spans="1:6" ht="14.25" customHeight="1" x14ac:dyDescent="0.25">
      <c r="A179" s="1">
        <v>-1.7600000000000001E-2</v>
      </c>
      <c r="B179" s="1">
        <v>-1.09E-2</v>
      </c>
      <c r="C179" s="1">
        <v>3.5200000000000002E-2</v>
      </c>
      <c r="D179" s="1">
        <v>1E-4</v>
      </c>
      <c r="E179" s="3">
        <v>41213</v>
      </c>
      <c r="F179">
        <v>5.0000000000000001E-4</v>
      </c>
    </row>
    <row r="180" spans="1:6" ht="14.25" customHeight="1" x14ac:dyDescent="0.25">
      <c r="A180" s="1">
        <v>7.7999999999999996E-3</v>
      </c>
      <c r="B180" s="1">
        <v>6.0000000000000001E-3</v>
      </c>
      <c r="C180" s="1">
        <v>-8.6E-3</v>
      </c>
      <c r="D180" s="1">
        <v>1E-4</v>
      </c>
      <c r="E180" s="3">
        <v>41243</v>
      </c>
      <c r="F180">
        <v>5.3E-3</v>
      </c>
    </row>
    <row r="181" spans="1:6" ht="14.25" customHeight="1" x14ac:dyDescent="0.25">
      <c r="A181" s="1">
        <v>1.18E-2</v>
      </c>
      <c r="B181" s="1">
        <v>1.4999999999999999E-2</v>
      </c>
      <c r="C181" s="1">
        <v>3.4799999999999998E-2</v>
      </c>
      <c r="D181" s="1">
        <v>1E-4</v>
      </c>
      <c r="E181" s="3">
        <v>41274</v>
      </c>
      <c r="F181">
        <v>-2.93E-2</v>
      </c>
    </row>
    <row r="182" spans="1:6" ht="14.25" customHeight="1" x14ac:dyDescent="0.25">
      <c r="A182" s="1">
        <v>5.57E-2</v>
      </c>
      <c r="B182" s="1">
        <v>2.8999999999999998E-3</v>
      </c>
      <c r="C182" s="1">
        <v>1.01E-2</v>
      </c>
      <c r="D182" s="1">
        <v>0</v>
      </c>
      <c r="E182" s="3">
        <v>41305</v>
      </c>
      <c r="F182">
        <v>-1.8200000000000001E-2</v>
      </c>
    </row>
    <row r="183" spans="1:6" ht="14.25" customHeight="1" x14ac:dyDescent="0.25">
      <c r="A183" s="1">
        <v>1.2800000000000001E-2</v>
      </c>
      <c r="B183" s="1">
        <v>-3.0000000000000001E-3</v>
      </c>
      <c r="C183" s="1">
        <v>2.0999999999999999E-3</v>
      </c>
      <c r="D183" s="1">
        <v>0</v>
      </c>
      <c r="E183" s="3">
        <v>41333</v>
      </c>
      <c r="F183">
        <v>1.23E-2</v>
      </c>
    </row>
    <row r="184" spans="1:6" ht="14.25" customHeight="1" x14ac:dyDescent="0.25">
      <c r="A184" s="1">
        <v>4.0399999999999998E-2</v>
      </c>
      <c r="B184" s="1">
        <v>8.3000000000000001E-3</v>
      </c>
      <c r="C184" s="1">
        <v>-2.2000000000000001E-3</v>
      </c>
      <c r="D184" s="1">
        <v>0</v>
      </c>
      <c r="E184" s="3">
        <v>41361</v>
      </c>
      <c r="F184">
        <v>1.9199999999999998E-2</v>
      </c>
    </row>
    <row r="185" spans="1:6" ht="14.25" customHeight="1" x14ac:dyDescent="0.25">
      <c r="A185" s="1">
        <v>1.5599999999999999E-2</v>
      </c>
      <c r="B185" s="1">
        <v>-2.3699999999999999E-2</v>
      </c>
      <c r="C185" s="1">
        <v>4.4000000000000003E-3</v>
      </c>
      <c r="D185" s="1">
        <v>0</v>
      </c>
      <c r="E185" s="3">
        <v>41394</v>
      </c>
      <c r="F185">
        <v>2.2000000000000001E-3</v>
      </c>
    </row>
    <row r="186" spans="1:6" ht="14.25" customHeight="1" x14ac:dyDescent="0.25">
      <c r="A186" s="1">
        <v>2.8000000000000001E-2</v>
      </c>
      <c r="B186" s="1">
        <v>1.7000000000000001E-2</v>
      </c>
      <c r="C186" s="1">
        <v>2.6700000000000002E-2</v>
      </c>
      <c r="D186" s="1">
        <v>0</v>
      </c>
      <c r="E186" s="3">
        <v>41425</v>
      </c>
      <c r="F186">
        <v>-2.01E-2</v>
      </c>
    </row>
    <row r="187" spans="1:6" ht="14.25" customHeight="1" x14ac:dyDescent="0.25">
      <c r="A187" s="1">
        <v>-1.2E-2</v>
      </c>
      <c r="B187" s="1">
        <v>1.3100000000000001E-2</v>
      </c>
      <c r="C187" s="1">
        <v>-5.0000000000000001E-4</v>
      </c>
      <c r="D187" s="1">
        <v>0</v>
      </c>
      <c r="E187" s="3">
        <v>41453</v>
      </c>
      <c r="F187">
        <v>4.3E-3</v>
      </c>
    </row>
    <row r="188" spans="1:6" ht="14.25" customHeight="1" x14ac:dyDescent="0.25">
      <c r="A188" s="1">
        <v>5.6500000000000002E-2</v>
      </c>
      <c r="B188" s="1">
        <v>1.8100000000000002E-2</v>
      </c>
      <c r="C188" s="1">
        <v>5.7999999999999996E-3</v>
      </c>
      <c r="D188" s="1">
        <v>0</v>
      </c>
      <c r="E188" s="3">
        <v>41486</v>
      </c>
      <c r="F188">
        <v>1.7399999999999999E-2</v>
      </c>
    </row>
    <row r="189" spans="1:6" ht="14.25" customHeight="1" x14ac:dyDescent="0.25">
      <c r="A189" s="1">
        <v>-2.7099999999999999E-2</v>
      </c>
      <c r="B189" s="1">
        <v>3.2000000000000002E-3</v>
      </c>
      <c r="C189" s="1">
        <v>-2.7300000000000001E-2</v>
      </c>
      <c r="D189" s="1">
        <v>0</v>
      </c>
      <c r="E189" s="3">
        <v>41516</v>
      </c>
      <c r="F189">
        <v>4.0000000000000002E-4</v>
      </c>
    </row>
    <row r="190" spans="1:6" ht="14.25" customHeight="1" x14ac:dyDescent="0.25">
      <c r="A190" s="1">
        <v>3.7699999999999997E-2</v>
      </c>
      <c r="B190" s="1">
        <v>2.8899999999999999E-2</v>
      </c>
      <c r="C190" s="1">
        <v>-1.18E-2</v>
      </c>
      <c r="D190" s="1">
        <v>0</v>
      </c>
      <c r="E190" s="3">
        <v>41547</v>
      </c>
      <c r="F190">
        <v>3.0200000000000001E-2</v>
      </c>
    </row>
    <row r="191" spans="1:6" ht="14.25" customHeight="1" x14ac:dyDescent="0.25">
      <c r="A191" s="1">
        <v>4.1700000000000001E-2</v>
      </c>
      <c r="B191" s="1">
        <v>-1.5599999999999999E-2</v>
      </c>
      <c r="C191" s="1">
        <v>1.2200000000000001E-2</v>
      </c>
      <c r="D191" s="1">
        <v>0</v>
      </c>
      <c r="E191" s="3">
        <v>41578</v>
      </c>
      <c r="F191">
        <v>2.0000000000000001E-4</v>
      </c>
    </row>
    <row r="192" spans="1:6" ht="14.25" customHeight="1" x14ac:dyDescent="0.25">
      <c r="A192" s="1">
        <v>3.1099999999999999E-2</v>
      </c>
      <c r="B192" s="1">
        <v>1.3100000000000001E-2</v>
      </c>
      <c r="C192" s="1">
        <v>1.9E-3</v>
      </c>
      <c r="D192" s="1">
        <v>0</v>
      </c>
      <c r="E192" s="3">
        <v>41607</v>
      </c>
      <c r="F192">
        <v>3.8999999999999998E-3</v>
      </c>
    </row>
    <row r="193" spans="1:6" ht="14.25" customHeight="1" x14ac:dyDescent="0.25">
      <c r="A193" s="1">
        <v>2.81E-2</v>
      </c>
      <c r="B193" s="1">
        <v>-4.4000000000000003E-3</v>
      </c>
      <c r="C193" s="1">
        <v>0</v>
      </c>
      <c r="D193" s="1">
        <v>0</v>
      </c>
      <c r="E193" s="3">
        <v>41639</v>
      </c>
      <c r="F193">
        <v>2.0000000000000001E-4</v>
      </c>
    </row>
    <row r="194" spans="1:6" ht="14.25" customHeight="1" x14ac:dyDescent="0.25">
      <c r="A194" s="1">
        <v>-3.32E-2</v>
      </c>
      <c r="B194" s="1">
        <v>9.2999999999999992E-3</v>
      </c>
      <c r="C194" s="1">
        <v>-1.9900000000000001E-2</v>
      </c>
      <c r="D194" s="1">
        <v>0</v>
      </c>
      <c r="E194" s="3">
        <v>41670</v>
      </c>
      <c r="F194">
        <v>1.61E-2</v>
      </c>
    </row>
    <row r="195" spans="1:6" ht="14.25" customHeight="1" x14ac:dyDescent="0.25">
      <c r="A195" s="1">
        <v>4.6600000000000003E-2</v>
      </c>
      <c r="B195" s="1">
        <v>3.5999999999999999E-3</v>
      </c>
      <c r="C195" s="1">
        <v>-3.5000000000000001E-3</v>
      </c>
      <c r="D195" s="1">
        <v>0</v>
      </c>
      <c r="E195" s="3">
        <v>41698</v>
      </c>
      <c r="F195">
        <v>2.1299999999999999E-2</v>
      </c>
    </row>
    <row r="196" spans="1:6" ht="14.25" customHeight="1" x14ac:dyDescent="0.25">
      <c r="A196" s="1">
        <v>4.3E-3</v>
      </c>
      <c r="B196" s="1">
        <v>-1.8599999999999998E-2</v>
      </c>
      <c r="C196" s="1">
        <v>4.9000000000000002E-2</v>
      </c>
      <c r="D196" s="1">
        <v>0</v>
      </c>
      <c r="E196" s="3">
        <v>41729</v>
      </c>
      <c r="F196">
        <v>-3.27E-2</v>
      </c>
    </row>
    <row r="197" spans="1:6" ht="14.25" customHeight="1" x14ac:dyDescent="0.25">
      <c r="A197" s="1">
        <v>-1.8E-3</v>
      </c>
      <c r="B197" s="1">
        <v>-4.1799999999999997E-2</v>
      </c>
      <c r="C197" s="1">
        <v>1.2200000000000001E-2</v>
      </c>
      <c r="D197" s="1">
        <v>0</v>
      </c>
      <c r="E197" s="3">
        <v>41759</v>
      </c>
      <c r="F197">
        <v>-3.8199999999999998E-2</v>
      </c>
    </row>
    <row r="198" spans="1:6" ht="14.25" customHeight="1" x14ac:dyDescent="0.25">
      <c r="A198" s="1">
        <v>2.0500000000000001E-2</v>
      </c>
      <c r="B198" s="1">
        <v>-1.8499999999999999E-2</v>
      </c>
      <c r="C198" s="1">
        <v>-1E-3</v>
      </c>
      <c r="D198" s="1">
        <v>0</v>
      </c>
      <c r="E198" s="3">
        <v>41789</v>
      </c>
      <c r="F198">
        <v>8.8999999999999999E-3</v>
      </c>
    </row>
    <row r="199" spans="1:6" ht="14.25" customHeight="1" x14ac:dyDescent="0.25">
      <c r="A199" s="1">
        <v>2.5999999999999999E-2</v>
      </c>
      <c r="B199" s="1">
        <v>3.0499999999999999E-2</v>
      </c>
      <c r="C199" s="1">
        <v>-7.1000000000000004E-3</v>
      </c>
      <c r="D199" s="1">
        <v>0</v>
      </c>
      <c r="E199" s="3">
        <v>41820</v>
      </c>
      <c r="F199">
        <v>6.4999999999999997E-3</v>
      </c>
    </row>
    <row r="200" spans="1:6" ht="14.25" customHeight="1" x14ac:dyDescent="0.25">
      <c r="A200" s="1">
        <v>-2.0299999999999999E-2</v>
      </c>
      <c r="B200" s="1">
        <v>-4.1799999999999997E-2</v>
      </c>
      <c r="C200" s="1">
        <v>-8.0000000000000004E-4</v>
      </c>
      <c r="D200" s="1">
        <v>0</v>
      </c>
      <c r="E200" s="3">
        <v>41851</v>
      </c>
      <c r="F200">
        <v>-1.6999999999999999E-3</v>
      </c>
    </row>
    <row r="201" spans="1:6" ht="14.25" customHeight="1" x14ac:dyDescent="0.25">
      <c r="A201" s="1">
        <v>4.24E-2</v>
      </c>
      <c r="B201" s="1">
        <v>4.1000000000000003E-3</v>
      </c>
      <c r="C201" s="1">
        <v>-5.7000000000000002E-3</v>
      </c>
      <c r="D201" s="1">
        <v>0</v>
      </c>
      <c r="E201" s="3">
        <v>41880</v>
      </c>
      <c r="F201">
        <v>8.3000000000000001E-3</v>
      </c>
    </row>
    <row r="202" spans="1:6" ht="14.25" customHeight="1" x14ac:dyDescent="0.25">
      <c r="A202" s="1">
        <v>-1.9599999999999999E-2</v>
      </c>
      <c r="B202" s="1">
        <v>-3.5900000000000001E-2</v>
      </c>
      <c r="C202" s="1">
        <v>-1.47E-2</v>
      </c>
      <c r="D202" s="1">
        <v>0</v>
      </c>
      <c r="E202" s="3">
        <v>41912</v>
      </c>
      <c r="F202">
        <v>6.0000000000000001E-3</v>
      </c>
    </row>
    <row r="203" spans="1:6" ht="14.25" customHeight="1" x14ac:dyDescent="0.25">
      <c r="A203" s="1">
        <v>2.5100000000000001E-2</v>
      </c>
      <c r="B203" s="1">
        <v>4.0500000000000001E-2</v>
      </c>
      <c r="C203" s="1">
        <v>-1.6299999999999999E-2</v>
      </c>
      <c r="D203" s="1">
        <v>0</v>
      </c>
      <c r="E203" s="3">
        <v>41943</v>
      </c>
      <c r="F203">
        <v>-2.0999999999999999E-3</v>
      </c>
    </row>
    <row r="204" spans="1:6" ht="14.25" customHeight="1" x14ac:dyDescent="0.25">
      <c r="A204" s="1">
        <v>2.5600000000000001E-2</v>
      </c>
      <c r="B204" s="1">
        <v>-2.0500000000000001E-2</v>
      </c>
      <c r="C204" s="1">
        <v>-3.1300000000000001E-2</v>
      </c>
      <c r="D204" s="1">
        <v>0</v>
      </c>
      <c r="E204" s="3">
        <v>41971</v>
      </c>
      <c r="F204">
        <v>6.8999999999999999E-3</v>
      </c>
    </row>
    <row r="205" spans="1:6" ht="14.25" customHeight="1" x14ac:dyDescent="0.25">
      <c r="A205" s="1">
        <v>-5.0000000000000001E-4</v>
      </c>
      <c r="B205" s="1">
        <v>2.53E-2</v>
      </c>
      <c r="C205" s="1">
        <v>2.12E-2</v>
      </c>
      <c r="D205" s="1">
        <v>0</v>
      </c>
      <c r="E205" s="3">
        <v>42004</v>
      </c>
      <c r="F205">
        <v>1.03E-2</v>
      </c>
    </row>
    <row r="206" spans="1:6" ht="14.25" customHeight="1" x14ac:dyDescent="0.25">
      <c r="A206" s="1">
        <v>-3.1E-2</v>
      </c>
      <c r="B206" s="1">
        <v>-5.8999999999999999E-3</v>
      </c>
      <c r="C206" s="1">
        <v>-3.4500000000000003E-2</v>
      </c>
      <c r="D206" s="1">
        <v>0</v>
      </c>
      <c r="E206" s="3">
        <v>42034</v>
      </c>
      <c r="F206">
        <v>3.7400000000000003E-2</v>
      </c>
    </row>
    <row r="207" spans="1:6" ht="14.25" customHeight="1" x14ac:dyDescent="0.25">
      <c r="A207" s="1">
        <v>6.13E-2</v>
      </c>
      <c r="B207" s="1">
        <v>6.1000000000000004E-3</v>
      </c>
      <c r="C207" s="1">
        <v>-1.7899999999999999E-2</v>
      </c>
      <c r="D207" s="1">
        <v>0</v>
      </c>
      <c r="E207" s="3">
        <v>42062</v>
      </c>
      <c r="F207">
        <v>-3.1E-2</v>
      </c>
    </row>
    <row r="208" spans="1:6" ht="14.25" customHeight="1" x14ac:dyDescent="0.25">
      <c r="A208" s="1">
        <v>-1.11E-2</v>
      </c>
      <c r="B208" s="1">
        <v>3.0499999999999999E-2</v>
      </c>
      <c r="C208" s="1">
        <v>-3.8E-3</v>
      </c>
      <c r="D208" s="1">
        <v>0</v>
      </c>
      <c r="E208" s="3">
        <v>42094</v>
      </c>
      <c r="F208">
        <v>2.7E-2</v>
      </c>
    </row>
    <row r="209" spans="1:6" ht="14.25" customHeight="1" x14ac:dyDescent="0.25">
      <c r="A209" s="1">
        <v>5.8999999999999999E-3</v>
      </c>
      <c r="B209" s="1">
        <v>-2.9899999999999999E-2</v>
      </c>
      <c r="C209" s="1">
        <v>1.7999999999999999E-2</v>
      </c>
      <c r="D209" s="1">
        <v>0</v>
      </c>
      <c r="E209" s="3">
        <v>42124</v>
      </c>
      <c r="F209">
        <v>-7.2700000000000001E-2</v>
      </c>
    </row>
    <row r="210" spans="1:6" ht="14.25" customHeight="1" x14ac:dyDescent="0.25">
      <c r="A210" s="1">
        <v>1.37E-2</v>
      </c>
      <c r="B210" s="1">
        <v>9.4999999999999998E-3</v>
      </c>
      <c r="C210" s="1">
        <v>-1.11E-2</v>
      </c>
      <c r="D210" s="1">
        <v>0</v>
      </c>
      <c r="E210" s="3">
        <v>42153</v>
      </c>
      <c r="F210">
        <v>5.6800000000000003E-2</v>
      </c>
    </row>
    <row r="211" spans="1:6" ht="14.25" customHeight="1" x14ac:dyDescent="0.25">
      <c r="A211" s="1">
        <v>-1.52E-2</v>
      </c>
      <c r="B211" s="1">
        <v>2.9399999999999999E-2</v>
      </c>
      <c r="C211" s="1">
        <v>-8.2000000000000007E-3</v>
      </c>
      <c r="D211" s="1">
        <v>0</v>
      </c>
      <c r="E211" s="3">
        <v>42185</v>
      </c>
      <c r="F211">
        <v>3.0099999999999998E-2</v>
      </c>
    </row>
    <row r="212" spans="1:6" ht="14.25" customHeight="1" x14ac:dyDescent="0.25">
      <c r="A212" s="1">
        <v>1.5699999999999999E-2</v>
      </c>
      <c r="B212" s="1">
        <v>-4.1700000000000001E-2</v>
      </c>
      <c r="C212" s="1">
        <v>-4.1599999999999998E-2</v>
      </c>
      <c r="D212" s="1">
        <v>0</v>
      </c>
      <c r="E212" s="3">
        <v>42216</v>
      </c>
      <c r="F212">
        <v>9.9699999999999997E-2</v>
      </c>
    </row>
    <row r="213" spans="1:6" ht="14.25" customHeight="1" x14ac:dyDescent="0.25">
      <c r="A213" s="1">
        <v>-6.0199999999999997E-2</v>
      </c>
      <c r="B213" s="1">
        <v>3.7000000000000002E-3</v>
      </c>
      <c r="C213" s="1">
        <v>2.75E-2</v>
      </c>
      <c r="D213" s="1">
        <v>0</v>
      </c>
      <c r="E213" s="3">
        <v>42247</v>
      </c>
      <c r="F213">
        <v>-2.1600000000000001E-2</v>
      </c>
    </row>
    <row r="214" spans="1:6" ht="14.25" customHeight="1" x14ac:dyDescent="0.25">
      <c r="A214" s="1">
        <v>-3.0599999999999999E-2</v>
      </c>
      <c r="B214" s="1">
        <v>-2.63E-2</v>
      </c>
      <c r="C214" s="1">
        <v>5.4999999999999997E-3</v>
      </c>
      <c r="D214" s="1">
        <v>0</v>
      </c>
      <c r="E214" s="3">
        <v>42277</v>
      </c>
      <c r="F214">
        <v>5.2400000000000002E-2</v>
      </c>
    </row>
    <row r="215" spans="1:6" ht="14.25" customHeight="1" x14ac:dyDescent="0.25">
      <c r="A215" s="1">
        <v>7.7499999999999999E-2</v>
      </c>
      <c r="B215" s="1">
        <v>-1.9E-2</v>
      </c>
      <c r="C215" s="1">
        <v>-4.7000000000000002E-3</v>
      </c>
      <c r="D215" s="1">
        <v>0</v>
      </c>
      <c r="E215" s="3">
        <v>42307</v>
      </c>
      <c r="F215">
        <v>-3.1899999999999998E-2</v>
      </c>
    </row>
    <row r="216" spans="1:6" ht="14.25" customHeight="1" x14ac:dyDescent="0.25">
      <c r="A216" s="1">
        <v>5.7000000000000002E-3</v>
      </c>
      <c r="B216" s="1">
        <v>3.5799999999999998E-2</v>
      </c>
      <c r="C216" s="1">
        <v>-4.3E-3</v>
      </c>
      <c r="D216" s="1">
        <v>0</v>
      </c>
      <c r="E216" s="3">
        <v>42338</v>
      </c>
      <c r="F216">
        <v>2.29E-2</v>
      </c>
    </row>
    <row r="217" spans="1:6" ht="14.25" customHeight="1" x14ac:dyDescent="0.25">
      <c r="A217" s="1">
        <v>-2.1499999999999998E-2</v>
      </c>
      <c r="B217" s="1">
        <v>-2.8000000000000001E-2</v>
      </c>
      <c r="C217" s="1">
        <v>-2.5700000000000001E-2</v>
      </c>
      <c r="D217" s="1">
        <v>1E-4</v>
      </c>
      <c r="E217" s="3">
        <v>42369</v>
      </c>
      <c r="F217">
        <v>3.3399999999999999E-2</v>
      </c>
    </row>
    <row r="218" spans="1:6" ht="14.25" customHeight="1" x14ac:dyDescent="0.25">
      <c r="A218" s="1">
        <v>-5.74E-2</v>
      </c>
      <c r="B218" s="1">
        <v>-3.4000000000000002E-2</v>
      </c>
      <c r="C218" s="1">
        <v>2.0799999999999999E-2</v>
      </c>
      <c r="D218" s="1">
        <v>1E-4</v>
      </c>
      <c r="E218" s="3">
        <v>42398</v>
      </c>
      <c r="F218">
        <v>1.6E-2</v>
      </c>
    </row>
    <row r="219" spans="1:6" ht="14.25" customHeight="1" x14ac:dyDescent="0.25">
      <c r="A219" s="1">
        <v>-5.9999999999999995E-4</v>
      </c>
      <c r="B219" s="1">
        <v>7.3000000000000001E-3</v>
      </c>
      <c r="C219" s="1">
        <v>-6.1000000000000004E-3</v>
      </c>
      <c r="D219" s="1">
        <v>2.0000000000000001E-4</v>
      </c>
      <c r="E219" s="3">
        <v>42429</v>
      </c>
      <c r="F219">
        <v>-4.3499999999999997E-2</v>
      </c>
    </row>
    <row r="220" spans="1:6" ht="14.25" customHeight="1" x14ac:dyDescent="0.25">
      <c r="A220" s="1">
        <v>6.9500000000000006E-2</v>
      </c>
      <c r="B220" s="1">
        <v>7.4999999999999997E-3</v>
      </c>
      <c r="C220" s="1">
        <v>1.2200000000000001E-2</v>
      </c>
      <c r="D220" s="1">
        <v>2.0000000000000001E-4</v>
      </c>
      <c r="E220" s="3">
        <v>42460</v>
      </c>
      <c r="F220">
        <v>-5.04E-2</v>
      </c>
    </row>
    <row r="221" spans="1:6" ht="14.25" customHeight="1" x14ac:dyDescent="0.25">
      <c r="A221" s="1">
        <v>9.1999999999999998E-3</v>
      </c>
      <c r="B221" s="1">
        <v>7.7000000000000002E-3</v>
      </c>
      <c r="C221" s="1">
        <v>3.2199999999999999E-2</v>
      </c>
      <c r="D221" s="1">
        <v>1E-4</v>
      </c>
      <c r="E221" s="3">
        <v>42489</v>
      </c>
      <c r="F221">
        <v>-5.9799999999999999E-2</v>
      </c>
    </row>
    <row r="222" spans="1:6" ht="14.25" customHeight="1" x14ac:dyDescent="0.25">
      <c r="A222" s="1">
        <v>1.78E-2</v>
      </c>
      <c r="B222" s="1">
        <v>-1.8E-3</v>
      </c>
      <c r="C222" s="1">
        <v>-1.6199999999999999E-2</v>
      </c>
      <c r="D222" s="1">
        <v>1E-4</v>
      </c>
      <c r="E222" s="3">
        <v>42521</v>
      </c>
      <c r="F222">
        <v>1.47E-2</v>
      </c>
    </row>
    <row r="223" spans="1:6" ht="14.25" customHeight="1" x14ac:dyDescent="0.25">
      <c r="A223" s="1">
        <v>-2.9999999999999997E-4</v>
      </c>
      <c r="B223" s="1">
        <v>6.0000000000000001E-3</v>
      </c>
      <c r="C223" s="1">
        <v>-1.49E-2</v>
      </c>
      <c r="D223" s="1">
        <v>2.0000000000000001E-4</v>
      </c>
      <c r="E223" s="3">
        <v>42551</v>
      </c>
      <c r="F223">
        <v>4.2000000000000003E-2</v>
      </c>
    </row>
    <row r="224" spans="1:6" ht="14.25" customHeight="1" x14ac:dyDescent="0.25">
      <c r="A224" s="1">
        <v>3.9399999999999998E-2</v>
      </c>
      <c r="B224" s="1">
        <v>2.4500000000000001E-2</v>
      </c>
      <c r="C224" s="1">
        <v>-1.24E-2</v>
      </c>
      <c r="D224" s="1">
        <v>2.0000000000000001E-4</v>
      </c>
      <c r="E224" s="3">
        <v>42580</v>
      </c>
      <c r="F224">
        <v>-3.3099999999999997E-2</v>
      </c>
    </row>
    <row r="225" spans="1:6" ht="14.25" customHeight="1" x14ac:dyDescent="0.25">
      <c r="A225" s="1">
        <v>4.8999999999999998E-3</v>
      </c>
      <c r="B225" s="1">
        <v>1.17E-2</v>
      </c>
      <c r="C225" s="1">
        <v>3.1699999999999999E-2</v>
      </c>
      <c r="D225" s="1">
        <v>2.0000000000000001E-4</v>
      </c>
      <c r="E225" s="3">
        <v>42613</v>
      </c>
      <c r="F225">
        <v>-3.4099999999999998E-2</v>
      </c>
    </row>
    <row r="226" spans="1:6" ht="14.25" customHeight="1" x14ac:dyDescent="0.25">
      <c r="A226" s="1">
        <v>2.7000000000000001E-3</v>
      </c>
      <c r="B226" s="1">
        <v>2.0799999999999999E-2</v>
      </c>
      <c r="C226" s="1">
        <v>-1.1900000000000001E-2</v>
      </c>
      <c r="D226" s="1">
        <v>2.0000000000000001E-4</v>
      </c>
      <c r="E226" s="3">
        <v>42643</v>
      </c>
      <c r="F226">
        <v>2.5999999999999999E-3</v>
      </c>
    </row>
    <row r="227" spans="1:6" ht="14.25" customHeight="1" x14ac:dyDescent="0.25">
      <c r="A227" s="1">
        <v>-2.01E-2</v>
      </c>
      <c r="B227" s="1">
        <v>-4.3900000000000002E-2</v>
      </c>
      <c r="C227" s="1">
        <v>4.1099999999999998E-2</v>
      </c>
      <c r="D227" s="1">
        <v>2.0000000000000001E-4</v>
      </c>
      <c r="E227" s="3">
        <v>42674</v>
      </c>
      <c r="F227">
        <v>5.1000000000000004E-3</v>
      </c>
    </row>
    <row r="228" spans="1:6" ht="14.25" customHeight="1" x14ac:dyDescent="0.25">
      <c r="A228" s="1">
        <v>4.8599999999999997E-2</v>
      </c>
      <c r="B228" s="1">
        <v>5.6000000000000001E-2</v>
      </c>
      <c r="C228" s="1">
        <v>8.2900000000000001E-2</v>
      </c>
      <c r="D228" s="1">
        <v>1E-4</v>
      </c>
      <c r="E228" s="3">
        <v>42704</v>
      </c>
      <c r="F228">
        <v>-4.7699999999999999E-2</v>
      </c>
    </row>
    <row r="229" spans="1:6" ht="14.25" customHeight="1" x14ac:dyDescent="0.25">
      <c r="A229" s="1">
        <v>1.8100000000000002E-2</v>
      </c>
      <c r="B229" s="1">
        <v>1.4E-3</v>
      </c>
      <c r="C229" s="1">
        <v>3.4700000000000002E-2</v>
      </c>
      <c r="D229" s="1">
        <v>2.9999999999999997E-4</v>
      </c>
      <c r="E229" s="3">
        <v>42734</v>
      </c>
      <c r="F229">
        <v>-2.7000000000000001E-3</v>
      </c>
    </row>
    <row r="230" spans="1:6" ht="14.25" customHeight="1" x14ac:dyDescent="0.25">
      <c r="A230" s="1">
        <v>1.9400000000000001E-2</v>
      </c>
      <c r="B230" s="1">
        <v>-1.1599999999999999E-2</v>
      </c>
      <c r="C230" s="1">
        <v>-2.76E-2</v>
      </c>
      <c r="D230" s="1">
        <v>4.0000000000000002E-4</v>
      </c>
      <c r="E230" s="3">
        <v>42766</v>
      </c>
      <c r="F230">
        <v>-9.2999999999999992E-3</v>
      </c>
    </row>
    <row r="231" spans="1:6" ht="14.25" customHeight="1" x14ac:dyDescent="0.25">
      <c r="A231" s="1">
        <v>3.5499999999999997E-2</v>
      </c>
      <c r="B231" s="1">
        <v>-2.1499999999999998E-2</v>
      </c>
      <c r="C231" s="1">
        <v>-1.4999999999999999E-2</v>
      </c>
      <c r="D231" s="1">
        <v>4.0000000000000002E-4</v>
      </c>
      <c r="E231" s="3">
        <v>42794</v>
      </c>
      <c r="F231">
        <v>-1.5100000000000001E-2</v>
      </c>
    </row>
    <row r="232" spans="1:6" ht="14.25" customHeight="1" x14ac:dyDescent="0.25">
      <c r="A232" s="1">
        <v>1.6999999999999999E-3</v>
      </c>
      <c r="B232" s="1">
        <v>1.1299999999999999E-2</v>
      </c>
      <c r="C232" s="1">
        <v>-3.3300000000000003E-2</v>
      </c>
      <c r="D232" s="1">
        <v>2.9999999999999997E-4</v>
      </c>
      <c r="E232" s="3">
        <v>42825</v>
      </c>
      <c r="F232">
        <v>-9.7000000000000003E-3</v>
      </c>
    </row>
    <row r="233" spans="1:6" ht="14.25" customHeight="1" x14ac:dyDescent="0.25">
      <c r="A233" s="1">
        <v>1.0800000000000001E-2</v>
      </c>
      <c r="B233" s="1">
        <v>6.6E-3</v>
      </c>
      <c r="C233" s="1">
        <v>-2.0500000000000001E-2</v>
      </c>
      <c r="D233" s="1">
        <v>5.0000000000000001E-4</v>
      </c>
      <c r="E233" s="3">
        <v>42853</v>
      </c>
      <c r="F233">
        <v>4.7999999999999996E-3</v>
      </c>
    </row>
    <row r="234" spans="1:6" ht="14.25" customHeight="1" x14ac:dyDescent="0.25">
      <c r="A234" s="1">
        <v>1.0699999999999999E-2</v>
      </c>
      <c r="B234" s="1">
        <v>-2.52E-2</v>
      </c>
      <c r="C234" s="1">
        <v>-3.8199999999999998E-2</v>
      </c>
      <c r="D234" s="1">
        <v>5.9999999999999995E-4</v>
      </c>
      <c r="E234" s="3">
        <v>42886</v>
      </c>
      <c r="F234">
        <v>1.4999999999999999E-2</v>
      </c>
    </row>
    <row r="235" spans="1:6" ht="14.25" customHeight="1" x14ac:dyDescent="0.25">
      <c r="A235" s="1">
        <v>7.9000000000000008E-3</v>
      </c>
      <c r="B235" s="1">
        <v>2.2100000000000002E-2</v>
      </c>
      <c r="C235" s="1">
        <v>1.4999999999999999E-2</v>
      </c>
      <c r="D235" s="1">
        <v>5.9999999999999995E-4</v>
      </c>
      <c r="E235" s="3">
        <v>42916</v>
      </c>
      <c r="F235">
        <v>-1E-3</v>
      </c>
    </row>
    <row r="236" spans="1:6" ht="14.25" customHeight="1" x14ac:dyDescent="0.25">
      <c r="A236" s="1">
        <v>1.8800000000000001E-2</v>
      </c>
      <c r="B236" s="1">
        <v>-1.4500000000000001E-2</v>
      </c>
      <c r="C236" s="1">
        <v>-2.3E-3</v>
      </c>
      <c r="D236" s="1">
        <v>6.9999999999999999E-4</v>
      </c>
      <c r="E236" s="3">
        <v>42947</v>
      </c>
      <c r="F236">
        <v>1.6299999999999999E-2</v>
      </c>
    </row>
    <row r="237" spans="1:6" ht="14.25" customHeight="1" x14ac:dyDescent="0.25">
      <c r="A237" s="1">
        <v>1.8E-3</v>
      </c>
      <c r="B237" s="1">
        <v>-1.67E-2</v>
      </c>
      <c r="C237" s="1">
        <v>-2.1299999999999999E-2</v>
      </c>
      <c r="D237" s="1">
        <v>8.9999999999999998E-4</v>
      </c>
      <c r="E237" s="3">
        <v>42978</v>
      </c>
      <c r="F237">
        <v>3.3099999999999997E-2</v>
      </c>
    </row>
    <row r="238" spans="1:6" ht="14.25" customHeight="1" x14ac:dyDescent="0.25">
      <c r="A238" s="1">
        <v>2.4899999999999999E-2</v>
      </c>
      <c r="B238" s="1">
        <v>4.4499999999999998E-2</v>
      </c>
      <c r="C238" s="1">
        <v>3.15E-2</v>
      </c>
      <c r="D238" s="1">
        <v>8.9999999999999998E-4</v>
      </c>
      <c r="E238" s="3">
        <v>43007</v>
      </c>
      <c r="F238">
        <v>-1.35E-2</v>
      </c>
    </row>
    <row r="239" spans="1:6" ht="14.25" customHeight="1" x14ac:dyDescent="0.25">
      <c r="A239" s="1">
        <v>2.2599999999999999E-2</v>
      </c>
      <c r="B239" s="1">
        <v>-1.9300000000000001E-2</v>
      </c>
      <c r="C239" s="1">
        <v>1.2999999999999999E-3</v>
      </c>
      <c r="D239" s="1">
        <v>8.9999999999999998E-4</v>
      </c>
      <c r="E239" s="3">
        <v>43039</v>
      </c>
      <c r="F239">
        <v>4.2099999999999999E-2</v>
      </c>
    </row>
    <row r="240" spans="1:6" ht="14.25" customHeight="1" x14ac:dyDescent="0.25">
      <c r="A240" s="1">
        <v>3.1199999999999999E-2</v>
      </c>
      <c r="B240" s="1">
        <v>-6.0000000000000001E-3</v>
      </c>
      <c r="C240" s="1">
        <v>-8.9999999999999998E-4</v>
      </c>
      <c r="D240" s="1">
        <v>8.0000000000000004E-4</v>
      </c>
      <c r="E240" s="3">
        <v>43069</v>
      </c>
      <c r="F240">
        <v>-9.4000000000000004E-3</v>
      </c>
    </row>
    <row r="241" spans="1:6" ht="14.25" customHeight="1" x14ac:dyDescent="0.25">
      <c r="A241" s="1">
        <v>1.06E-2</v>
      </c>
      <c r="B241" s="1">
        <v>-1.32E-2</v>
      </c>
      <c r="C241" s="1">
        <v>5.0000000000000001E-4</v>
      </c>
      <c r="D241" s="1">
        <v>8.9999999999999998E-4</v>
      </c>
      <c r="E241" s="3">
        <v>43098</v>
      </c>
      <c r="F241">
        <v>-1.55E-2</v>
      </c>
    </row>
    <row r="242" spans="1:6" ht="14.25" customHeight="1" x14ac:dyDescent="0.25">
      <c r="A242" s="1">
        <v>5.5800000000000002E-2</v>
      </c>
      <c r="B242" s="1">
        <v>-3.1600000000000003E-2</v>
      </c>
      <c r="C242" s="1">
        <v>-1.32E-2</v>
      </c>
      <c r="D242" s="1">
        <v>1.1000000000000001E-3</v>
      </c>
      <c r="E242" s="3">
        <v>43131</v>
      </c>
      <c r="F242">
        <v>4.0800000000000003E-2</v>
      </c>
    </row>
    <row r="243" spans="1:6" ht="14.25" customHeight="1" x14ac:dyDescent="0.25">
      <c r="A243" s="1">
        <v>-3.6400000000000002E-2</v>
      </c>
      <c r="B243" s="1">
        <v>2.7000000000000001E-3</v>
      </c>
      <c r="C243" s="1">
        <v>-1.0999999999999999E-2</v>
      </c>
      <c r="D243" s="1">
        <v>1.1000000000000001E-3</v>
      </c>
      <c r="E243" s="3">
        <v>43159</v>
      </c>
      <c r="F243">
        <v>3.6799999999999999E-2</v>
      </c>
    </row>
    <row r="244" spans="1:6" ht="14.25" customHeight="1" x14ac:dyDescent="0.25">
      <c r="A244" s="1">
        <v>-2.35E-2</v>
      </c>
      <c r="B244" s="1">
        <v>4.0500000000000001E-2</v>
      </c>
      <c r="C244" s="1">
        <v>-2.0999999999999999E-3</v>
      </c>
      <c r="D244" s="1">
        <v>1.1999999999999999E-3</v>
      </c>
      <c r="E244" s="3">
        <v>43188</v>
      </c>
      <c r="F244">
        <v>-1.2E-2</v>
      </c>
    </row>
    <row r="245" spans="1:6" ht="14.25" customHeight="1" x14ac:dyDescent="0.25">
      <c r="A245" s="1">
        <v>2.7000000000000001E-3</v>
      </c>
      <c r="B245" s="1">
        <v>1.09E-2</v>
      </c>
      <c r="C245" s="1">
        <v>5.3E-3</v>
      </c>
      <c r="D245" s="1">
        <v>1.4E-3</v>
      </c>
      <c r="E245" s="3">
        <v>43220</v>
      </c>
      <c r="F245">
        <v>4.4999999999999997E-3</v>
      </c>
    </row>
    <row r="246" spans="1:6" ht="14.25" customHeight="1" x14ac:dyDescent="0.25">
      <c r="A246" s="1">
        <v>2.6599999999999999E-2</v>
      </c>
      <c r="B246" s="1">
        <v>5.2400000000000002E-2</v>
      </c>
      <c r="C246" s="1">
        <v>-3.1399999999999997E-2</v>
      </c>
      <c r="D246" s="1">
        <v>1.4E-3</v>
      </c>
      <c r="E246" s="3">
        <v>43251</v>
      </c>
      <c r="F246">
        <v>3.9100000000000003E-2</v>
      </c>
    </row>
    <row r="247" spans="1:6" ht="14.25" customHeight="1" x14ac:dyDescent="0.25">
      <c r="A247" s="1">
        <v>4.8999999999999998E-3</v>
      </c>
      <c r="B247" s="1">
        <v>1.11E-2</v>
      </c>
      <c r="C247" s="1">
        <v>-2.3300000000000001E-2</v>
      </c>
      <c r="D247" s="1">
        <v>1.4E-3</v>
      </c>
      <c r="E247" s="3">
        <v>43280</v>
      </c>
      <c r="F247">
        <v>-2.2599999999999999E-2</v>
      </c>
    </row>
    <row r="248" spans="1:6" ht="14.25" customHeight="1" x14ac:dyDescent="0.25">
      <c r="A248" s="1">
        <v>3.2000000000000001E-2</v>
      </c>
      <c r="B248" s="1">
        <v>-2.23E-2</v>
      </c>
      <c r="C248" s="1">
        <v>4.8999999999999998E-3</v>
      </c>
      <c r="D248" s="1">
        <v>1.6000000000000001E-3</v>
      </c>
      <c r="E248" s="3">
        <v>43312</v>
      </c>
      <c r="F248">
        <v>-1.43E-2</v>
      </c>
    </row>
    <row r="249" spans="1:6" ht="14.25" customHeight="1" x14ac:dyDescent="0.25">
      <c r="A249" s="1">
        <v>3.4500000000000003E-2</v>
      </c>
      <c r="B249" s="1">
        <v>1.14E-2</v>
      </c>
      <c r="C249" s="1">
        <v>-3.9100000000000003E-2</v>
      </c>
      <c r="D249" s="1">
        <v>1.6000000000000001E-3</v>
      </c>
      <c r="E249" s="3">
        <v>43343</v>
      </c>
      <c r="F249">
        <v>5.2999999999999999E-2</v>
      </c>
    </row>
    <row r="250" spans="1:6" ht="14.25" customHeight="1" x14ac:dyDescent="0.25">
      <c r="A250" s="1">
        <v>5.9999999999999995E-4</v>
      </c>
      <c r="B250" s="1">
        <v>-2.29E-2</v>
      </c>
      <c r="C250" s="1">
        <v>-1.6199999999999999E-2</v>
      </c>
      <c r="D250" s="1">
        <v>1.5E-3</v>
      </c>
      <c r="E250" s="3">
        <v>43371</v>
      </c>
      <c r="F250">
        <v>-8.0000000000000004E-4</v>
      </c>
    </row>
    <row r="251" spans="1:6" ht="14.25" customHeight="1" x14ac:dyDescent="0.25">
      <c r="A251" s="1">
        <v>-7.6499999999999999E-2</v>
      </c>
      <c r="B251" s="1">
        <v>-4.7E-2</v>
      </c>
      <c r="C251" s="1">
        <v>3.3799999999999997E-2</v>
      </c>
      <c r="D251" s="1">
        <v>1.9E-3</v>
      </c>
      <c r="E251" s="3">
        <v>43404</v>
      </c>
      <c r="F251">
        <v>-2.06E-2</v>
      </c>
    </row>
    <row r="252" spans="1:6" ht="14.25" customHeight="1" x14ac:dyDescent="0.25">
      <c r="A252" s="1">
        <v>1.7100000000000001E-2</v>
      </c>
      <c r="B252" s="1">
        <v>-7.3000000000000001E-3</v>
      </c>
      <c r="C252" s="1">
        <v>3.5999999999999999E-3</v>
      </c>
      <c r="D252" s="1">
        <v>1.8E-3</v>
      </c>
      <c r="E252" s="3">
        <v>43434</v>
      </c>
      <c r="F252">
        <v>-1.4E-2</v>
      </c>
    </row>
    <row r="253" spans="1:6" ht="14.25" customHeight="1" x14ac:dyDescent="0.25">
      <c r="A253" s="1">
        <v>-9.5500000000000002E-2</v>
      </c>
      <c r="B253" s="1">
        <v>-2.3099999999999999E-2</v>
      </c>
      <c r="C253" s="1">
        <v>-1.9199999999999998E-2</v>
      </c>
      <c r="D253" s="1">
        <v>1.9E-3</v>
      </c>
      <c r="E253" s="3">
        <v>43465</v>
      </c>
      <c r="F253">
        <v>1.7600000000000001E-2</v>
      </c>
    </row>
    <row r="254" spans="1:6" ht="14.25" customHeight="1" x14ac:dyDescent="0.25">
      <c r="A254" s="1">
        <v>8.3699999999999997E-2</v>
      </c>
      <c r="B254" s="1">
        <v>2.76E-2</v>
      </c>
      <c r="C254" s="1">
        <v>-3.8999999999999998E-3</v>
      </c>
      <c r="D254" s="1">
        <v>2.0999999999999999E-3</v>
      </c>
      <c r="E254" s="3">
        <v>43496</v>
      </c>
      <c r="F254">
        <v>-8.6199999999999999E-2</v>
      </c>
    </row>
    <row r="255" spans="1:6" ht="14.25" customHeight="1" x14ac:dyDescent="0.25">
      <c r="A255" s="1">
        <v>3.4200000000000001E-2</v>
      </c>
      <c r="B255" s="1">
        <v>2.0500000000000001E-2</v>
      </c>
      <c r="C255" s="1">
        <v>-2.6599999999999999E-2</v>
      </c>
      <c r="D255" s="1">
        <v>1.8E-3</v>
      </c>
      <c r="E255" s="3">
        <v>43524</v>
      </c>
      <c r="F255">
        <v>5.0000000000000001E-3</v>
      </c>
    </row>
    <row r="256" spans="1:6" ht="14.25" customHeight="1" x14ac:dyDescent="0.25">
      <c r="A256" s="1">
        <v>1.0999999999999999E-2</v>
      </c>
      <c r="B256" s="1">
        <v>-3.0300000000000001E-2</v>
      </c>
      <c r="C256" s="1">
        <v>-4.1399999999999999E-2</v>
      </c>
      <c r="D256" s="1">
        <v>1.9E-3</v>
      </c>
      <c r="E256" s="3">
        <v>43553</v>
      </c>
      <c r="F256">
        <v>2.24E-2</v>
      </c>
    </row>
    <row r="257" spans="1:6" ht="14.25" customHeight="1" x14ac:dyDescent="0.25">
      <c r="A257" s="1">
        <v>3.9699999999999999E-2</v>
      </c>
      <c r="B257" s="1">
        <v>-1.7399999999999999E-2</v>
      </c>
      <c r="C257" s="1">
        <v>2.1299999999999999E-2</v>
      </c>
      <c r="D257" s="1">
        <v>2.0999999999999999E-3</v>
      </c>
      <c r="E257" s="3">
        <v>43585</v>
      </c>
      <c r="F257">
        <v>-2.9100000000000001E-2</v>
      </c>
    </row>
    <row r="258" spans="1:6" ht="14.25" customHeight="1" x14ac:dyDescent="0.25">
      <c r="A258" s="1">
        <v>-6.9199999999999998E-2</v>
      </c>
      <c r="B258" s="1">
        <v>-1.26E-2</v>
      </c>
      <c r="C258" s="1">
        <v>-2.4500000000000001E-2</v>
      </c>
      <c r="D258" s="1">
        <v>2.0999999999999999E-3</v>
      </c>
      <c r="E258" s="3">
        <v>43616</v>
      </c>
      <c r="F258">
        <v>7.5499999999999998E-2</v>
      </c>
    </row>
    <row r="259" spans="1:6" ht="14.25" customHeight="1" x14ac:dyDescent="0.25">
      <c r="A259" s="1">
        <v>6.9199999999999998E-2</v>
      </c>
      <c r="B259" s="1">
        <v>2.5999999999999999E-3</v>
      </c>
      <c r="C259" s="1">
        <v>-6.4000000000000003E-3</v>
      </c>
      <c r="D259" s="1">
        <v>1.8E-3</v>
      </c>
      <c r="E259" s="3">
        <v>43644</v>
      </c>
      <c r="F259">
        <v>-2.24E-2</v>
      </c>
    </row>
    <row r="260" spans="1:6" ht="14.25" customHeight="1" x14ac:dyDescent="0.25">
      <c r="A260" s="1">
        <v>1.23E-2</v>
      </c>
      <c r="B260" s="1">
        <v>-1.9599999999999999E-2</v>
      </c>
      <c r="C260" s="1">
        <v>5.0000000000000001E-3</v>
      </c>
      <c r="D260" s="1">
        <v>1.9E-3</v>
      </c>
      <c r="E260" s="3">
        <v>43677</v>
      </c>
      <c r="F260">
        <v>2.92E-2</v>
      </c>
    </row>
    <row r="261" spans="1:6" ht="14.25" customHeight="1" x14ac:dyDescent="0.25">
      <c r="A261" s="1">
        <v>-2.5499999999999998E-2</v>
      </c>
      <c r="B261" s="1">
        <v>-2.3900000000000001E-2</v>
      </c>
      <c r="C261" s="1">
        <v>-4.7699999999999999E-2</v>
      </c>
      <c r="D261" s="1">
        <v>1.6000000000000001E-3</v>
      </c>
      <c r="E261" s="3">
        <v>43707</v>
      </c>
      <c r="F261">
        <v>7.51E-2</v>
      </c>
    </row>
    <row r="262" spans="1:6" ht="14.25" customHeight="1" x14ac:dyDescent="0.25">
      <c r="A262" s="1">
        <v>1.41E-2</v>
      </c>
      <c r="B262" s="1">
        <v>-9.7000000000000003E-3</v>
      </c>
      <c r="C262" s="1">
        <v>6.7599999999999993E-2</v>
      </c>
      <c r="D262" s="1">
        <v>1.8E-3</v>
      </c>
      <c r="E262" s="3">
        <v>43738</v>
      </c>
      <c r="F262">
        <v>-6.7400000000000002E-2</v>
      </c>
    </row>
    <row r="263" spans="1:6" ht="14.25" customHeight="1" x14ac:dyDescent="0.25">
      <c r="A263" s="1">
        <v>2.07E-2</v>
      </c>
      <c r="B263" s="1">
        <v>2.7000000000000001E-3</v>
      </c>
      <c r="C263" s="1">
        <v>-1.9199999999999998E-2</v>
      </c>
      <c r="D263" s="1">
        <v>1.5E-3</v>
      </c>
      <c r="E263" s="3">
        <v>43769</v>
      </c>
      <c r="F263">
        <v>1.2999999999999999E-3</v>
      </c>
    </row>
    <row r="264" spans="1:6" ht="14.25" customHeight="1" x14ac:dyDescent="0.25">
      <c r="A264" s="1">
        <v>3.8699999999999998E-2</v>
      </c>
      <c r="B264" s="1">
        <v>7.1999999999999998E-3</v>
      </c>
      <c r="C264" s="1">
        <v>-0.02</v>
      </c>
      <c r="D264" s="1">
        <v>1.1999999999999999E-3</v>
      </c>
      <c r="E264" s="3">
        <v>43798</v>
      </c>
      <c r="F264">
        <v>-2.5399999999999999E-2</v>
      </c>
    </row>
    <row r="265" spans="1:6" ht="14.25" customHeight="1" x14ac:dyDescent="0.25">
      <c r="A265" s="1">
        <v>2.7699999999999999E-2</v>
      </c>
      <c r="B265" s="1">
        <v>7.6E-3</v>
      </c>
      <c r="C265" s="1">
        <v>1.7299999999999999E-2</v>
      </c>
      <c r="D265" s="1">
        <v>1.4E-3</v>
      </c>
      <c r="E265" s="3">
        <v>43830</v>
      </c>
      <c r="F265">
        <v>-2.2200000000000001E-2</v>
      </c>
    </row>
    <row r="266" spans="1:6" ht="14.25" customHeight="1" x14ac:dyDescent="0.25">
      <c r="A266" s="1">
        <v>-1.1000000000000001E-3</v>
      </c>
      <c r="B266" s="1">
        <v>-3.1E-2</v>
      </c>
      <c r="C266" s="1">
        <v>-6.2199999999999998E-2</v>
      </c>
      <c r="D266" s="1">
        <v>1.2999999999999999E-3</v>
      </c>
      <c r="E266" s="3">
        <v>43861</v>
      </c>
      <c r="F266">
        <v>6.0199999999999997E-2</v>
      </c>
    </row>
    <row r="267" spans="1:6" ht="14.25" customHeight="1" x14ac:dyDescent="0.25">
      <c r="A267" s="1">
        <v>-8.1500000000000003E-2</v>
      </c>
      <c r="B267" s="1">
        <v>1.0800000000000001E-2</v>
      </c>
      <c r="C267" s="1">
        <v>-3.8199999999999998E-2</v>
      </c>
      <c r="D267" s="1">
        <v>1.1999999999999999E-3</v>
      </c>
      <c r="E267" s="3">
        <v>43889</v>
      </c>
      <c r="F267">
        <v>-2.8E-3</v>
      </c>
    </row>
    <row r="268" spans="1:6" ht="14.25" customHeight="1" x14ac:dyDescent="0.25">
      <c r="A268" s="1">
        <v>-0.13370000000000001</v>
      </c>
      <c r="B268" s="1">
        <v>-4.6899999999999997E-2</v>
      </c>
      <c r="C268" s="1">
        <v>-0.13830000000000001</v>
      </c>
      <c r="D268" s="1">
        <v>1.1999999999999999E-3</v>
      </c>
      <c r="E268" s="3">
        <v>43921</v>
      </c>
      <c r="F268">
        <v>8.2100000000000006E-2</v>
      </c>
    </row>
    <row r="269" spans="1:6" ht="14.25" customHeight="1" x14ac:dyDescent="0.25">
      <c r="A269" s="1">
        <v>0.13600000000000001</v>
      </c>
      <c r="B269" s="1">
        <v>2.5000000000000001E-2</v>
      </c>
      <c r="C269" s="1">
        <v>-1.34E-2</v>
      </c>
      <c r="D269" s="1">
        <v>0</v>
      </c>
      <c r="E269" s="3">
        <v>43951</v>
      </c>
      <c r="F269">
        <v>-5.4800000000000001E-2</v>
      </c>
    </row>
    <row r="270" spans="1:6" ht="14.25" customHeight="1" x14ac:dyDescent="0.25">
      <c r="A270" s="1">
        <v>5.57E-2</v>
      </c>
      <c r="B270" s="1">
        <v>2.4E-2</v>
      </c>
      <c r="C270" s="1">
        <v>-0.05</v>
      </c>
      <c r="D270" s="1">
        <v>1E-4</v>
      </c>
      <c r="E270" s="3">
        <v>43980</v>
      </c>
      <c r="F270">
        <v>1.6000000000000001E-3</v>
      </c>
    </row>
    <row r="271" spans="1:6" ht="14.25" customHeight="1" x14ac:dyDescent="0.25">
      <c r="A271" s="1">
        <v>2.4500000000000001E-2</v>
      </c>
      <c r="B271" s="1">
        <v>2.6700000000000002E-2</v>
      </c>
      <c r="C271" s="1">
        <v>-2.1700000000000001E-2</v>
      </c>
      <c r="D271" s="1">
        <v>1E-4</v>
      </c>
      <c r="E271" s="3">
        <v>44012</v>
      </c>
      <c r="F271">
        <v>-8.3000000000000001E-3</v>
      </c>
    </row>
    <row r="272" spans="1:6" ht="14.25" customHeight="1" x14ac:dyDescent="0.25">
      <c r="A272" s="1">
        <v>5.8299999999999998E-2</v>
      </c>
      <c r="B272" s="1">
        <v>-2.35E-2</v>
      </c>
      <c r="C272" s="1">
        <v>-1.44E-2</v>
      </c>
      <c r="D272" s="1">
        <v>1E-4</v>
      </c>
      <c r="E272" s="3">
        <v>44043</v>
      </c>
      <c r="F272">
        <v>7.7100000000000002E-2</v>
      </c>
    </row>
    <row r="273" spans="1:6" ht="14.25" customHeight="1" x14ac:dyDescent="0.25">
      <c r="A273" s="1">
        <v>7.6200000000000004E-2</v>
      </c>
      <c r="B273" s="1">
        <v>-2E-3</v>
      </c>
      <c r="C273" s="1">
        <v>-3.0200000000000001E-2</v>
      </c>
      <c r="D273" s="1">
        <v>1E-4</v>
      </c>
      <c r="E273" s="3">
        <v>44074</v>
      </c>
      <c r="F273">
        <v>4.5999999999999999E-3</v>
      </c>
    </row>
    <row r="274" spans="1:6" ht="14.25" customHeight="1" x14ac:dyDescent="0.25">
      <c r="A274" s="1">
        <v>-3.6400000000000002E-2</v>
      </c>
      <c r="B274" s="1">
        <v>5.9999999999999995E-4</v>
      </c>
      <c r="C274" s="1">
        <v>-2.7199999999999998E-2</v>
      </c>
      <c r="D274" s="1">
        <v>1E-4</v>
      </c>
      <c r="E274" s="3">
        <v>44104</v>
      </c>
      <c r="F274">
        <v>3.1899999999999998E-2</v>
      </c>
    </row>
    <row r="275" spans="1:6" ht="14.25" customHeight="1" x14ac:dyDescent="0.25">
      <c r="A275" s="1">
        <v>-2.0799999999999999E-2</v>
      </c>
      <c r="B275" s="1">
        <v>4.3400000000000001E-2</v>
      </c>
      <c r="C275" s="1">
        <v>4.2500000000000003E-2</v>
      </c>
      <c r="D275" s="1">
        <v>1E-4</v>
      </c>
      <c r="E275" s="3">
        <v>44134</v>
      </c>
      <c r="F275">
        <v>-3.1399999999999997E-2</v>
      </c>
    </row>
    <row r="276" spans="1:6" ht="14.25" customHeight="1" x14ac:dyDescent="0.25">
      <c r="A276" s="1">
        <v>0.1245</v>
      </c>
      <c r="B276" s="1">
        <v>5.8099999999999999E-2</v>
      </c>
      <c r="C276" s="1">
        <v>2.0899999999999998E-2</v>
      </c>
      <c r="D276" s="1">
        <v>1E-4</v>
      </c>
      <c r="E276" s="3">
        <v>44165</v>
      </c>
      <c r="F276">
        <v>-0.1255</v>
      </c>
    </row>
    <row r="277" spans="1:6" ht="14.25" customHeight="1" x14ac:dyDescent="0.25">
      <c r="A277" s="1">
        <v>4.6300000000000001E-2</v>
      </c>
      <c r="B277" s="1">
        <v>5.0099999999999999E-2</v>
      </c>
      <c r="C277" s="1">
        <v>-1.6799999999999999E-2</v>
      </c>
      <c r="D277" s="1">
        <v>1E-4</v>
      </c>
      <c r="E277" s="3">
        <v>44196</v>
      </c>
      <c r="F277">
        <v>-2.3699999999999999E-2</v>
      </c>
    </row>
    <row r="278" spans="1:6" ht="14.25" customHeight="1" x14ac:dyDescent="0.25">
      <c r="A278" s="1">
        <v>-6.9999999999999999E-4</v>
      </c>
      <c r="B278" s="1">
        <v>7.1400000000000005E-2</v>
      </c>
      <c r="C278" s="1">
        <v>3.2199999999999999E-2</v>
      </c>
      <c r="D278" s="1">
        <v>0</v>
      </c>
      <c r="E278" s="3">
        <v>44225</v>
      </c>
      <c r="F278">
        <v>4.3099999999999999E-2</v>
      </c>
    </row>
    <row r="279" spans="1:6" ht="14.25" customHeight="1" x14ac:dyDescent="0.25">
      <c r="A279" s="1">
        <v>2.81E-2</v>
      </c>
      <c r="B279" s="1">
        <v>2.0199999999999999E-2</v>
      </c>
      <c r="C279" s="1">
        <v>7.1999999999999995E-2</v>
      </c>
      <c r="D279" s="1">
        <v>0</v>
      </c>
      <c r="E279" s="3">
        <v>44253</v>
      </c>
      <c r="F279">
        <v>-7.9000000000000001E-2</v>
      </c>
    </row>
    <row r="280" spans="1:6" ht="14.25" customHeight="1" x14ac:dyDescent="0.25">
      <c r="A280" s="1">
        <v>3.1600000000000003E-2</v>
      </c>
      <c r="B280" s="1">
        <v>-2.3300000000000001E-2</v>
      </c>
      <c r="C280" s="1">
        <v>7.3499999999999996E-2</v>
      </c>
      <c r="D280" s="1">
        <v>0</v>
      </c>
      <c r="E280" s="3">
        <v>44286</v>
      </c>
      <c r="F280">
        <v>-6.1100000000000002E-2</v>
      </c>
    </row>
    <row r="281" spans="1:6" ht="14.25" customHeight="1" x14ac:dyDescent="0.25">
      <c r="A281" s="1">
        <v>4.9500000000000002E-2</v>
      </c>
      <c r="B281" s="1">
        <v>-3.1899999999999998E-2</v>
      </c>
      <c r="C281" s="1">
        <v>-1.0200000000000001E-2</v>
      </c>
      <c r="D281" s="1">
        <v>0</v>
      </c>
      <c r="E281" s="3">
        <v>44316</v>
      </c>
      <c r="F281">
        <v>1.23E-2</v>
      </c>
    </row>
    <row r="282" spans="1:6" ht="14.25" customHeight="1" x14ac:dyDescent="0.25">
      <c r="A282" s="1">
        <v>3.0000000000000001E-3</v>
      </c>
      <c r="B282" s="1">
        <v>-2E-3</v>
      </c>
      <c r="C282" s="1">
        <v>7.0400000000000004E-2</v>
      </c>
      <c r="D282" s="1">
        <v>0</v>
      </c>
      <c r="E282" s="3">
        <v>44344</v>
      </c>
      <c r="F282">
        <v>5.5999999999999999E-3</v>
      </c>
    </row>
    <row r="283" spans="1:6" ht="14.25" customHeight="1" x14ac:dyDescent="0.25">
      <c r="A283" s="1">
        <v>2.7400000000000001E-2</v>
      </c>
      <c r="B283" s="1">
        <v>1.7000000000000001E-2</v>
      </c>
      <c r="C283" s="1">
        <v>-7.8600000000000003E-2</v>
      </c>
      <c r="D283" s="1">
        <v>0</v>
      </c>
      <c r="E283" s="3">
        <v>44377</v>
      </c>
      <c r="F283">
        <v>2.07E-2</v>
      </c>
    </row>
    <row r="284" spans="1:6" ht="14.25" customHeight="1" x14ac:dyDescent="0.25">
      <c r="A284" s="1">
        <v>1.34E-2</v>
      </c>
      <c r="B284" s="1">
        <v>-3.9300000000000002E-2</v>
      </c>
      <c r="C284" s="1">
        <v>-1.7899999999999999E-2</v>
      </c>
      <c r="D284" s="1">
        <v>0</v>
      </c>
      <c r="E284" s="3">
        <v>44407</v>
      </c>
      <c r="F284">
        <v>-2.18E-2</v>
      </c>
    </row>
    <row r="285" spans="1:6" ht="14.25" customHeight="1" x14ac:dyDescent="0.25">
      <c r="A285" s="1">
        <v>2.9399999999999999E-2</v>
      </c>
      <c r="B285" s="1">
        <v>-3.2000000000000002E-3</v>
      </c>
      <c r="C285" s="1">
        <v>-2.3E-3</v>
      </c>
      <c r="D285" s="1">
        <v>0</v>
      </c>
      <c r="E285" s="3">
        <v>44439</v>
      </c>
      <c r="F285">
        <v>2.63E-2</v>
      </c>
    </row>
    <row r="286" spans="1:6" ht="14.25" customHeight="1" x14ac:dyDescent="0.25">
      <c r="A286" s="1">
        <v>-4.3999999999999997E-2</v>
      </c>
      <c r="B286" s="1">
        <v>6.6E-3</v>
      </c>
      <c r="C286" s="1">
        <v>5.1200000000000002E-2</v>
      </c>
      <c r="D286" s="1">
        <v>0</v>
      </c>
      <c r="E286" s="3">
        <v>44469</v>
      </c>
      <c r="F286">
        <v>1.3899999999999999E-2</v>
      </c>
    </row>
    <row r="287" spans="1:6" ht="14.25" customHeight="1" x14ac:dyDescent="0.25">
      <c r="A287" s="1">
        <v>6.6299999999999998E-2</v>
      </c>
      <c r="B287" s="1">
        <v>-2.2700000000000001E-2</v>
      </c>
      <c r="C287" s="1">
        <v>-5.3E-3</v>
      </c>
      <c r="D287" s="1">
        <v>0</v>
      </c>
      <c r="E287" s="3">
        <v>44498</v>
      </c>
      <c r="F287">
        <v>3.32E-2</v>
      </c>
    </row>
    <row r="288" spans="1:6" ht="14.25" customHeight="1" x14ac:dyDescent="0.25">
      <c r="A288" s="1">
        <v>-1.5800000000000002E-2</v>
      </c>
      <c r="B288" s="1">
        <v>-1.3100000000000001E-2</v>
      </c>
      <c r="C288" s="1">
        <v>-3.7000000000000002E-3</v>
      </c>
      <c r="D288" s="1">
        <v>0</v>
      </c>
      <c r="E288" s="3">
        <v>44530</v>
      </c>
      <c r="F288">
        <v>9.5999999999999992E-3</v>
      </c>
    </row>
    <row r="289" spans="1:6" ht="14.25" customHeight="1" x14ac:dyDescent="0.25">
      <c r="A289" s="1">
        <v>3.2300000000000002E-2</v>
      </c>
      <c r="B289" s="1">
        <v>-1.6299999999999999E-2</v>
      </c>
      <c r="C289" s="1">
        <v>3.2599999999999997E-2</v>
      </c>
      <c r="D289" s="1">
        <v>1E-4</v>
      </c>
      <c r="E289" s="3">
        <v>44561</v>
      </c>
      <c r="F289">
        <v>-2.3900000000000001E-2</v>
      </c>
    </row>
    <row r="290" spans="1:6" ht="14.25" customHeight="1" x14ac:dyDescent="0.25">
      <c r="A290" s="1">
        <v>-6.1600000000000002E-2</v>
      </c>
      <c r="B290" s="1">
        <v>-5.9299999999999999E-2</v>
      </c>
      <c r="C290" s="1">
        <v>0.12859999999999999</v>
      </c>
      <c r="D290" s="1">
        <v>0</v>
      </c>
      <c r="E290" s="3">
        <v>44592</v>
      </c>
      <c r="F290">
        <v>-2.4199999999999999E-2</v>
      </c>
    </row>
    <row r="291" spans="1:6" ht="14.25" customHeight="1" x14ac:dyDescent="0.25">
      <c r="A291" s="1">
        <v>-2.2800000000000001E-2</v>
      </c>
      <c r="B291" s="1">
        <v>2.1600000000000001E-2</v>
      </c>
      <c r="C291" s="1">
        <v>3.0599999999999999E-2</v>
      </c>
      <c r="D291" s="1">
        <v>0</v>
      </c>
      <c r="E291" s="3">
        <v>44620</v>
      </c>
      <c r="F291">
        <v>1.66E-2</v>
      </c>
    </row>
    <row r="292" spans="1:6" ht="14.25" customHeight="1" x14ac:dyDescent="0.25">
      <c r="A292" s="1">
        <v>3.0800000000000001E-2</v>
      </c>
      <c r="B292" s="1">
        <v>-1.55E-2</v>
      </c>
      <c r="C292" s="1">
        <v>-1.9E-2</v>
      </c>
      <c r="D292" s="1">
        <v>0</v>
      </c>
      <c r="E292" s="3">
        <v>44651</v>
      </c>
      <c r="F292">
        <v>2.9399999999999999E-2</v>
      </c>
    </row>
    <row r="293" spans="1:6" ht="14.25" customHeight="1" x14ac:dyDescent="0.25">
      <c r="A293" s="1">
        <v>-9.4100000000000003E-2</v>
      </c>
      <c r="B293" s="1">
        <v>-1.35E-2</v>
      </c>
      <c r="C293" s="1">
        <v>6.1800000000000001E-2</v>
      </c>
      <c r="D293" s="1">
        <v>0</v>
      </c>
      <c r="E293" s="3">
        <v>44680</v>
      </c>
      <c r="F293">
        <v>0.05</v>
      </c>
    </row>
    <row r="294" spans="1:6" ht="14.25" customHeight="1" x14ac:dyDescent="0.25">
      <c r="A294" s="1">
        <v>-3.3999999999999998E-3</v>
      </c>
      <c r="B294" s="1">
        <v>-1.84E-2</v>
      </c>
      <c r="C294" s="1">
        <v>8.4400000000000003E-2</v>
      </c>
      <c r="D294" s="1">
        <v>2.9999999999999997E-4</v>
      </c>
      <c r="E294" s="3">
        <v>44712</v>
      </c>
      <c r="F294">
        <v>2.5399999999999999E-2</v>
      </c>
    </row>
    <row r="295" spans="1:6" ht="14.25" customHeight="1" x14ac:dyDescent="0.25">
      <c r="A295" s="1">
        <v>-8.4000000000000005E-2</v>
      </c>
      <c r="B295" s="1">
        <v>2.07E-2</v>
      </c>
      <c r="C295" s="1">
        <v>-0.06</v>
      </c>
      <c r="D295" s="1">
        <v>5.9999999999999995E-4</v>
      </c>
      <c r="E295" s="3">
        <v>44742</v>
      </c>
      <c r="F295">
        <v>1.09E-2</v>
      </c>
    </row>
    <row r="296" spans="1:6" ht="14.25" customHeight="1" x14ac:dyDescent="0.25">
      <c r="A296" s="1">
        <v>9.5699999999999993E-2</v>
      </c>
      <c r="B296" s="1">
        <v>2.8400000000000002E-2</v>
      </c>
      <c r="C296" s="1">
        <v>-4.1500000000000002E-2</v>
      </c>
      <c r="D296" s="1">
        <v>8.0000000000000004E-4</v>
      </c>
      <c r="E296" s="3">
        <v>44771</v>
      </c>
      <c r="F296">
        <v>-4.36E-2</v>
      </c>
    </row>
    <row r="297" spans="1:6" ht="14.25" customHeight="1" x14ac:dyDescent="0.25">
      <c r="A297" s="1">
        <v>-3.7699999999999997E-2</v>
      </c>
      <c r="B297" s="1">
        <v>1.41E-2</v>
      </c>
      <c r="C297" s="1">
        <v>1.8E-3</v>
      </c>
      <c r="D297" s="1">
        <v>1.9E-3</v>
      </c>
      <c r="E297" s="3">
        <v>44804</v>
      </c>
      <c r="F297">
        <v>1.8499999999999999E-2</v>
      </c>
    </row>
    <row r="298" spans="1:6" ht="14.25" customHeight="1" x14ac:dyDescent="0.25">
      <c r="A298" s="1">
        <v>-9.3399999999999997E-2</v>
      </c>
      <c r="B298" s="1">
        <v>-7.6E-3</v>
      </c>
      <c r="C298" s="1">
        <v>2.9999999999999997E-4</v>
      </c>
      <c r="D298" s="1">
        <v>1.9E-3</v>
      </c>
      <c r="E298" s="3">
        <v>44834</v>
      </c>
      <c r="F298">
        <v>3.6700000000000003E-2</v>
      </c>
    </row>
    <row r="299" spans="1:6" ht="14.25" customHeight="1" x14ac:dyDescent="0.25">
      <c r="A299" s="1">
        <v>7.85E-2</v>
      </c>
      <c r="B299" s="1">
        <v>1E-4</v>
      </c>
      <c r="C299" s="1">
        <v>7.9699999999999993E-2</v>
      </c>
      <c r="D299" s="1">
        <v>2.3E-3</v>
      </c>
      <c r="E299" s="3">
        <v>44865</v>
      </c>
      <c r="F299">
        <v>3.9E-2</v>
      </c>
    </row>
    <row r="300" spans="1:6" ht="14.25" customHeight="1" x14ac:dyDescent="0.25">
      <c r="A300" s="1">
        <v>4.65E-2</v>
      </c>
      <c r="B300" s="1">
        <v>-3.5700000000000003E-2</v>
      </c>
      <c r="C300" s="1">
        <v>1.4800000000000001E-2</v>
      </c>
      <c r="D300" s="1">
        <v>2.8999999999999998E-3</v>
      </c>
      <c r="E300" s="3">
        <v>44895</v>
      </c>
      <c r="F300">
        <v>-1.7000000000000001E-2</v>
      </c>
    </row>
    <row r="301" spans="1:6" ht="14.25" customHeight="1" x14ac:dyDescent="0.25">
      <c r="A301" s="1">
        <v>-6.3799999999999996E-2</v>
      </c>
      <c r="B301" s="1">
        <v>-7.6E-3</v>
      </c>
      <c r="C301" s="1">
        <v>1.34E-2</v>
      </c>
      <c r="D301" s="1">
        <v>3.3E-3</v>
      </c>
      <c r="E301" s="3">
        <v>44925</v>
      </c>
      <c r="F301">
        <v>4.9099999999999998E-2</v>
      </c>
    </row>
    <row r="302" spans="1:6" ht="14.25" customHeight="1" x14ac:dyDescent="0.25">
      <c r="A302" s="1">
        <v>6.6100000000000006E-2</v>
      </c>
      <c r="B302" s="1">
        <v>5.0099999999999999E-2</v>
      </c>
      <c r="C302" s="1">
        <v>-3.9399999999999998E-2</v>
      </c>
      <c r="D302" s="1">
        <v>3.5000000000000001E-3</v>
      </c>
      <c r="E302" s="3">
        <v>44957</v>
      </c>
      <c r="F302">
        <v>-0.16170000000000001</v>
      </c>
    </row>
    <row r="303" spans="1:6" ht="14.25" customHeight="1" x14ac:dyDescent="0.25">
      <c r="A303" s="1">
        <v>-2.5700000000000001E-2</v>
      </c>
      <c r="B303" s="1">
        <v>1.0500000000000001E-2</v>
      </c>
      <c r="C303" s="1">
        <v>-8.0000000000000002E-3</v>
      </c>
      <c r="D303" s="1">
        <v>3.3999999999999998E-3</v>
      </c>
      <c r="E303" s="3">
        <v>44985</v>
      </c>
      <c r="F303">
        <v>5.4999999999999997E-3</v>
      </c>
    </row>
    <row r="304" spans="1:6" ht="14.25" customHeight="1" x14ac:dyDescent="0.25">
      <c r="A304" s="1">
        <v>2.4799999999999999E-2</v>
      </c>
      <c r="B304" s="1">
        <v>-5.4800000000000001E-2</v>
      </c>
      <c r="C304" s="1">
        <v>-9.0499999999999997E-2</v>
      </c>
      <c r="D304" s="1">
        <v>3.5999999999999999E-3</v>
      </c>
      <c r="E304" s="3">
        <v>45016</v>
      </c>
      <c r="F304">
        <v>-2.35E-2</v>
      </c>
    </row>
    <row r="305" spans="1:6" ht="14.25" customHeight="1" x14ac:dyDescent="0.25">
      <c r="A305" s="1">
        <v>6.1999999999999998E-3</v>
      </c>
      <c r="B305" s="1">
        <v>-3.3700000000000001E-2</v>
      </c>
      <c r="C305" s="1">
        <v>-1.1999999999999999E-3</v>
      </c>
      <c r="D305" s="1">
        <v>3.5000000000000001E-3</v>
      </c>
      <c r="E305" s="3">
        <v>45044</v>
      </c>
      <c r="F305">
        <v>1.7600000000000001E-2</v>
      </c>
    </row>
    <row r="306" spans="1:6" ht="14.25" customHeight="1" x14ac:dyDescent="0.25">
      <c r="A306" s="1">
        <v>3.3999999999999998E-3</v>
      </c>
      <c r="B306" s="1">
        <v>1.6E-2</v>
      </c>
      <c r="C306" s="1">
        <v>-7.7899999999999997E-2</v>
      </c>
      <c r="D306" s="1">
        <v>3.5999999999999999E-3</v>
      </c>
      <c r="E306" s="3">
        <v>45077</v>
      </c>
      <c r="F306">
        <v>-8.8000000000000005E-3</v>
      </c>
    </row>
    <row r="307" spans="1:6" ht="14.25" customHeight="1" x14ac:dyDescent="0.25">
      <c r="A307" s="1">
        <v>6.4600000000000005E-2</v>
      </c>
      <c r="B307" s="1">
        <v>1.49E-2</v>
      </c>
      <c r="C307" s="1">
        <v>-1.2999999999999999E-3</v>
      </c>
      <c r="D307" s="1">
        <v>4.0000000000000001E-3</v>
      </c>
      <c r="E307" s="3">
        <v>45107</v>
      </c>
      <c r="F307">
        <v>-2.69E-2</v>
      </c>
    </row>
    <row r="308" spans="1:6" ht="14.25" customHeight="1" x14ac:dyDescent="0.25">
      <c r="A308" s="1">
        <v>3.2099999999999997E-2</v>
      </c>
      <c r="B308" s="1">
        <v>2.0500000000000001E-2</v>
      </c>
      <c r="C308" s="1">
        <v>4.0599999999999997E-2</v>
      </c>
      <c r="D308" s="1">
        <v>4.4999999999999997E-3</v>
      </c>
      <c r="E308" s="3">
        <v>45138</v>
      </c>
      <c r="F308">
        <v>-4.0599999999999997E-2</v>
      </c>
    </row>
    <row r="309" spans="1:6" ht="14.25" customHeight="1" x14ac:dyDescent="0.25">
      <c r="A309" s="1">
        <v>-2.3599999999999999E-2</v>
      </c>
      <c r="B309" s="1">
        <v>-3.1399999999999997E-2</v>
      </c>
      <c r="C309" s="1">
        <v>-1.15E-2</v>
      </c>
      <c r="D309" s="1">
        <v>4.4999999999999997E-3</v>
      </c>
      <c r="E309" s="3">
        <v>45169</v>
      </c>
      <c r="F309">
        <v>3.78E-2</v>
      </c>
    </row>
    <row r="310" spans="1:6" ht="14.25" customHeight="1" x14ac:dyDescent="0.25">
      <c r="A310" s="1">
        <v>-5.2299999999999999E-2</v>
      </c>
      <c r="B310" s="1">
        <v>-2.5100000000000001E-2</v>
      </c>
      <c r="C310" s="1">
        <v>1.49E-2</v>
      </c>
      <c r="D310" s="1">
        <v>4.3E-3</v>
      </c>
      <c r="E310" s="3">
        <v>45198</v>
      </c>
      <c r="F310">
        <v>3.3E-3</v>
      </c>
    </row>
    <row r="311" spans="1:6" ht="14.25" customHeight="1" x14ac:dyDescent="0.25">
      <c r="A311" s="1">
        <v>-3.15E-2</v>
      </c>
      <c r="B311" s="1">
        <v>-3.8600000000000002E-2</v>
      </c>
      <c r="C311" s="1">
        <v>2E-3</v>
      </c>
      <c r="D311" s="1">
        <v>4.7000000000000002E-3</v>
      </c>
      <c r="E311" s="3">
        <v>45230</v>
      </c>
      <c r="F311">
        <v>1.67E-2</v>
      </c>
    </row>
    <row r="312" spans="1:6" ht="14.25" customHeight="1" x14ac:dyDescent="0.25">
      <c r="A312" s="1">
        <v>8.8800000000000004E-2</v>
      </c>
      <c r="B312" s="1">
        <v>-1E-3</v>
      </c>
      <c r="C312" s="1">
        <v>1.67E-2</v>
      </c>
      <c r="D312" s="1">
        <v>4.4000000000000003E-3</v>
      </c>
      <c r="E312" s="3">
        <v>45260</v>
      </c>
      <c r="F312">
        <v>2.5600000000000001E-2</v>
      </c>
    </row>
    <row r="313" spans="1:6" ht="14.25" customHeight="1" x14ac:dyDescent="0.25">
      <c r="A313" s="1">
        <v>4.8500000000000001E-2</v>
      </c>
      <c r="B313" s="1">
        <v>6.3E-2</v>
      </c>
      <c r="C313" s="1">
        <v>4.8899999999999999E-2</v>
      </c>
      <c r="D313" s="1">
        <v>4.3E-3</v>
      </c>
      <c r="E313" s="3">
        <v>45289</v>
      </c>
      <c r="F313">
        <v>-5.5300000000000002E-2</v>
      </c>
    </row>
    <row r="314" spans="1:6" ht="14.25" customHeight="1" x14ac:dyDescent="0.25">
      <c r="A314" s="1">
        <v>7.3000000000000001E-3</v>
      </c>
      <c r="B314" s="1">
        <v>-5.0700000000000002E-2</v>
      </c>
      <c r="C314" s="1">
        <v>-2.3800000000000002E-2</v>
      </c>
      <c r="D314" s="1">
        <v>4.7000000000000002E-3</v>
      </c>
      <c r="E314" s="3">
        <v>45322</v>
      </c>
      <c r="F314">
        <v>5.4199999999999998E-2</v>
      </c>
    </row>
    <row r="315" spans="1:6" ht="14.25" customHeight="1" x14ac:dyDescent="0.25">
      <c r="A315" s="1">
        <v>5.0700000000000002E-2</v>
      </c>
      <c r="B315" s="1">
        <v>-2.3999999999999998E-3</v>
      </c>
      <c r="C315" s="1">
        <v>-3.4299999999999997E-2</v>
      </c>
      <c r="D315" s="1">
        <v>4.1999999999999997E-3</v>
      </c>
      <c r="E315" s="3">
        <v>45351</v>
      </c>
      <c r="F315">
        <v>4.9000000000000002E-2</v>
      </c>
    </row>
    <row r="316" spans="1:6" ht="14.25" customHeight="1" x14ac:dyDescent="0.25">
      <c r="A316" s="1">
        <v>2.8400000000000002E-2</v>
      </c>
      <c r="B316" s="1">
        <v>-2.5000000000000001E-2</v>
      </c>
      <c r="C316" s="1">
        <v>4.1599999999999998E-2</v>
      </c>
      <c r="D316" s="1">
        <v>4.3E-3</v>
      </c>
      <c r="E316" s="3">
        <v>45379</v>
      </c>
      <c r="F316">
        <v>-3.2000000000000002E-3</v>
      </c>
    </row>
    <row r="317" spans="1:6" ht="14.25" customHeight="1" x14ac:dyDescent="0.25">
      <c r="A317" s="1">
        <v>-4.65E-2</v>
      </c>
      <c r="B317" s="1">
        <v>-2.3699999999999999E-2</v>
      </c>
      <c r="C317" s="1">
        <v>-4.4999999999999997E-3</v>
      </c>
      <c r="D317" s="1">
        <v>4.7000000000000002E-3</v>
      </c>
      <c r="E317" s="3">
        <v>45412</v>
      </c>
      <c r="F317">
        <v>-4.3E-3</v>
      </c>
    </row>
    <row r="318" spans="1:6" ht="14.25" customHeight="1" x14ac:dyDescent="0.25">
      <c r="A318" s="1">
        <v>4.3299999999999998E-2</v>
      </c>
      <c r="B318" s="1">
        <v>5.4999999999999997E-3</v>
      </c>
      <c r="C318" s="1">
        <v>-1.3100000000000001E-2</v>
      </c>
      <c r="D318" s="1">
        <v>4.4000000000000003E-3</v>
      </c>
      <c r="E318" s="3">
        <v>45443</v>
      </c>
      <c r="F318">
        <v>-1.6000000000000001E-3</v>
      </c>
    </row>
    <row r="319" spans="1:6" ht="14.25" customHeight="1" x14ac:dyDescent="0.25">
      <c r="A319" s="1">
        <v>2.8000000000000001E-2</v>
      </c>
      <c r="B319" s="1">
        <v>-0.03</v>
      </c>
      <c r="C319" s="1">
        <v>-3.3599999999999998E-2</v>
      </c>
      <c r="D319" s="1">
        <v>4.1000000000000003E-3</v>
      </c>
      <c r="E319" s="3">
        <v>45471</v>
      </c>
      <c r="F319">
        <v>8.5000000000000006E-3</v>
      </c>
    </row>
    <row r="320" spans="1:6" ht="14.25" customHeight="1" x14ac:dyDescent="0.25">
      <c r="A320" s="1">
        <v>1.2200000000000001E-2</v>
      </c>
      <c r="B320" s="1">
        <v>6.8099999999999994E-2</v>
      </c>
      <c r="C320" s="1">
        <v>5.62E-2</v>
      </c>
      <c r="D320" s="1">
        <v>4.4999999999999997E-3</v>
      </c>
      <c r="E320" s="3">
        <v>45504</v>
      </c>
      <c r="F320">
        <v>-2.35E-2</v>
      </c>
    </row>
    <row r="321" spans="1:6" ht="14.25" customHeight="1" x14ac:dyDescent="0.25">
      <c r="A321" s="1">
        <v>1.6E-2</v>
      </c>
      <c r="B321" s="1">
        <v>-3.49E-2</v>
      </c>
      <c r="C321" s="1">
        <v>-1.0999999999999999E-2</v>
      </c>
      <c r="D321" s="1">
        <v>4.7999999999999996E-3</v>
      </c>
      <c r="E321" s="3">
        <v>45534</v>
      </c>
      <c r="F321">
        <v>4.8099999999999997E-2</v>
      </c>
    </row>
    <row r="322" spans="1:6" ht="14.25" customHeight="1" x14ac:dyDescent="0.25">
      <c r="A322" s="1">
        <v>1.72E-2</v>
      </c>
      <c r="B322" s="1">
        <v>-1.2999999999999999E-3</v>
      </c>
      <c r="C322" s="1">
        <v>-2.7699999999999999E-2</v>
      </c>
      <c r="D322" s="1">
        <v>4.0000000000000001E-3</v>
      </c>
      <c r="E322" s="3">
        <v>45565</v>
      </c>
      <c r="F322">
        <v>-6.1999999999999998E-3</v>
      </c>
    </row>
    <row r="323" spans="1:6" ht="14.25" customHeight="1" x14ac:dyDescent="0.25">
      <c r="A323" s="1">
        <v>-0.01</v>
      </c>
      <c r="B323" s="1">
        <v>-9.9000000000000008E-3</v>
      </c>
      <c r="C323" s="1">
        <v>8.6E-3</v>
      </c>
      <c r="D323" s="1">
        <v>3.8999999999999998E-3</v>
      </c>
      <c r="E323" s="3">
        <v>45596</v>
      </c>
      <c r="F323">
        <v>0.03</v>
      </c>
    </row>
    <row r="324" spans="1:6" ht="14.25" customHeight="1" x14ac:dyDescent="0.25">
      <c r="A324" s="1">
        <v>6.4899999999999999E-2</v>
      </c>
      <c r="B324" s="1">
        <v>4.4600000000000001E-2</v>
      </c>
      <c r="C324" s="1">
        <v>1.5E-3</v>
      </c>
      <c r="D324" s="1">
        <v>4.0000000000000001E-3</v>
      </c>
      <c r="E324" s="3">
        <v>45625</v>
      </c>
      <c r="F324">
        <v>0.01</v>
      </c>
    </row>
    <row r="325" spans="1:6" ht="14.25" customHeight="1" x14ac:dyDescent="0.25">
      <c r="A325" s="1">
        <v>-3.1699999999999999E-2</v>
      </c>
      <c r="B325" s="1">
        <v>-2.7099999999999999E-2</v>
      </c>
      <c r="C325" s="1">
        <v>-0.03</v>
      </c>
      <c r="D325" s="1">
        <v>3.7000000000000002E-3</v>
      </c>
      <c r="E325" s="3">
        <v>45657</v>
      </c>
      <c r="F325">
        <v>-3.0000000000000001E-3</v>
      </c>
    </row>
    <row r="326" spans="1:6" ht="14.25" customHeight="1" x14ac:dyDescent="0.25"/>
    <row r="327" spans="1:6" ht="14.25" customHeight="1" x14ac:dyDescent="0.25"/>
    <row r="328" spans="1:6" ht="14.25" customHeight="1" x14ac:dyDescent="0.25"/>
    <row r="329" spans="1:6" ht="14.25" customHeight="1" x14ac:dyDescent="0.25"/>
    <row r="330" spans="1:6" ht="14.25" customHeight="1" x14ac:dyDescent="0.25"/>
    <row r="331" spans="1:6" ht="14.25" customHeight="1" x14ac:dyDescent="0.25"/>
    <row r="332" spans="1:6" ht="14.25" customHeight="1" x14ac:dyDescent="0.25"/>
    <row r="333" spans="1:6" ht="14.25" customHeight="1" x14ac:dyDescent="0.25"/>
    <row r="334" spans="1:6" ht="14.25" customHeight="1" x14ac:dyDescent="0.25"/>
    <row r="335" spans="1:6" ht="14.25" customHeight="1" x14ac:dyDescent="0.25"/>
    <row r="336" spans="1: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169D3-E8C5-433F-B406-B72ABEA01BCA}">
  <dimension ref="A1:O325"/>
  <sheetViews>
    <sheetView zoomScale="112" zoomScaleNormal="112" workbookViewId="0">
      <selection activeCell="P17" sqref="P17"/>
    </sheetView>
  </sheetViews>
  <sheetFormatPr defaultRowHeight="15" x14ac:dyDescent="0.25"/>
  <cols>
    <col min="1" max="1" width="10.85546875" bestFit="1" customWidth="1"/>
    <col min="2" max="4" width="9.140625" bestFit="1" customWidth="1"/>
    <col min="5" max="5" width="8.5703125" customWidth="1"/>
    <col min="6" max="6" width="10.42578125" bestFit="1" customWidth="1"/>
    <col min="7" max="7" width="11.5703125" bestFit="1" customWidth="1"/>
    <col min="8" max="8" width="9.85546875" bestFit="1" customWidth="1"/>
    <col min="9" max="9" width="8.5703125" customWidth="1"/>
    <col min="10" max="10" width="10.140625" bestFit="1" customWidth="1"/>
    <col min="11" max="11" width="9.140625" bestFit="1" customWidth="1"/>
    <col min="12" max="12" width="10.28515625" bestFit="1" customWidth="1"/>
    <col min="14" max="14" width="10" customWidth="1"/>
    <col min="15" max="15" width="8.140625" customWidth="1"/>
    <col min="16" max="18" width="15.5703125" bestFit="1" customWidth="1"/>
    <col min="19" max="19" width="10.7109375" bestFit="1" customWidth="1"/>
    <col min="20" max="20" width="11" bestFit="1" customWidth="1"/>
    <col min="21" max="21" width="9.28515625" bestFit="1" customWidth="1"/>
    <col min="24" max="24" width="10.140625" bestFit="1" customWidth="1"/>
    <col min="25" max="25" width="9.28515625" bestFit="1" customWidth="1"/>
    <col min="26" max="28" width="15.5703125" bestFit="1" customWidth="1"/>
    <col min="29" max="29" width="9.28515625" bestFit="1" customWidth="1"/>
    <col min="30" max="30" width="10.140625" bestFit="1" customWidth="1"/>
    <col min="31" max="31" width="9.28515625" bestFit="1" customWidth="1"/>
    <col min="34" max="34" width="15.140625" bestFit="1" customWidth="1"/>
    <col min="35" max="35" width="9.28515625" bestFit="1" customWidth="1"/>
    <col min="36" max="38" width="15.5703125" bestFit="1" customWidth="1"/>
    <col min="39" max="39" width="12.42578125" bestFit="1" customWidth="1"/>
    <col min="40" max="40" width="10.140625" bestFit="1" customWidth="1"/>
    <col min="41" max="41" width="12.42578125" bestFit="1" customWidth="1"/>
  </cols>
  <sheetData>
    <row r="1" spans="1:15" x14ac:dyDescent="0.25">
      <c r="A1" t="s">
        <v>79</v>
      </c>
      <c r="B1" t="s">
        <v>82</v>
      </c>
      <c r="C1" t="s">
        <v>81</v>
      </c>
      <c r="D1" t="s">
        <v>80</v>
      </c>
      <c r="E1" s="7" t="s">
        <v>83</v>
      </c>
      <c r="F1" s="7" t="s">
        <v>84</v>
      </c>
      <c r="G1" s="7" t="s">
        <v>85</v>
      </c>
      <c r="H1" s="7" t="s">
        <v>86</v>
      </c>
      <c r="I1" s="7" t="s">
        <v>87</v>
      </c>
      <c r="J1" s="1" t="s">
        <v>75</v>
      </c>
      <c r="K1" s="1" t="s">
        <v>76</v>
      </c>
      <c r="L1" s="7" t="s">
        <v>114</v>
      </c>
      <c r="M1" s="26" t="s">
        <v>16</v>
      </c>
      <c r="N1" s="26" t="s">
        <v>124</v>
      </c>
      <c r="O1" s="26" t="s">
        <v>62</v>
      </c>
    </row>
    <row r="2" spans="1:15" x14ac:dyDescent="0.25">
      <c r="A2" s="3">
        <v>35825</v>
      </c>
      <c r="B2" s="1">
        <v>1.1735000000000001E-2</v>
      </c>
      <c r="C2" s="1">
        <v>2.1766000000000001E-2</v>
      </c>
      <c r="D2" s="1">
        <v>1.0885000000000001E-2</v>
      </c>
      <c r="E2" s="1">
        <f>'Fama-French Data'!D2</f>
        <v>4.3E-3</v>
      </c>
      <c r="F2">
        <f t="shared" ref="F2:F65" si="0">B2-$E2</f>
        <v>7.4350000000000006E-3</v>
      </c>
      <c r="G2">
        <f t="shared" ref="G2:G65" si="1">C2-$E2</f>
        <v>1.7466000000000002E-2</v>
      </c>
      <c r="H2">
        <f t="shared" ref="H2:H65" si="2">D2-$E2</f>
        <v>6.5850000000000006E-3</v>
      </c>
      <c r="I2" s="1">
        <f>'Fama-French Data'!A2</f>
        <v>1.5E-3</v>
      </c>
      <c r="J2" s="1">
        <f>'Fama-French Data'!B2</f>
        <v>-1.01E-2</v>
      </c>
      <c r="K2" s="1">
        <f>'Fama-French Data'!C2</f>
        <v>-1.6799999999999999E-2</v>
      </c>
      <c r="L2">
        <f>'Fama-French Data'!F2</f>
        <v>5.0000000000000001E-4</v>
      </c>
      <c r="M2">
        <f>(B2+1)*1000</f>
        <v>1011.735</v>
      </c>
      <c r="N2">
        <f t="shared" ref="N2:O2" si="3">(C2+1)*1000</f>
        <v>1021.766</v>
      </c>
      <c r="O2">
        <f t="shared" si="3"/>
        <v>1010.885</v>
      </c>
    </row>
    <row r="3" spans="1:15" x14ac:dyDescent="0.25">
      <c r="A3" s="3">
        <v>35853</v>
      </c>
      <c r="B3" s="1">
        <v>5.6337999999999999E-2</v>
      </c>
      <c r="C3" s="1">
        <v>7.5379000000000002E-2</v>
      </c>
      <c r="D3" s="1">
        <v>7.1628999999999998E-2</v>
      </c>
      <c r="E3" s="1">
        <f>'Fama-French Data'!D3</f>
        <v>3.8999999999999998E-3</v>
      </c>
      <c r="F3">
        <f t="shared" si="0"/>
        <v>5.2437999999999999E-2</v>
      </c>
      <c r="G3">
        <f t="shared" si="1"/>
        <v>7.1479000000000001E-2</v>
      </c>
      <c r="H3">
        <f t="shared" si="2"/>
        <v>6.7728999999999998E-2</v>
      </c>
      <c r="I3" s="1">
        <f>'Fama-French Data'!A3</f>
        <v>7.0300000000000001E-2</v>
      </c>
      <c r="J3" s="1">
        <f>'Fama-French Data'!B3</f>
        <v>1.2999999999999999E-3</v>
      </c>
      <c r="K3" s="1">
        <f>'Fama-French Data'!C3</f>
        <v>-9.2999999999999992E-3</v>
      </c>
      <c r="L3">
        <f>'Fama-French Data'!F3</f>
        <v>-1.1900000000000001E-2</v>
      </c>
      <c r="M3">
        <f>M2*(B3+1)</f>
        <v>1068.7341264300001</v>
      </c>
      <c r="N3">
        <f t="shared" ref="N3:O3" si="4">N2*(C3+1)</f>
        <v>1098.7856993140001</v>
      </c>
      <c r="O3">
        <f t="shared" si="4"/>
        <v>1083.2936816649999</v>
      </c>
    </row>
    <row r="4" spans="1:15" x14ac:dyDescent="0.25">
      <c r="A4" s="3">
        <v>35885</v>
      </c>
      <c r="B4" s="1">
        <v>5.0195999999999998E-2</v>
      </c>
      <c r="C4" s="1">
        <v>6.7047999999999996E-2</v>
      </c>
      <c r="D4" s="1">
        <v>5.0938999999999998E-2</v>
      </c>
      <c r="E4" s="1">
        <f>'Fama-French Data'!D4</f>
        <v>3.8999999999999998E-3</v>
      </c>
      <c r="F4">
        <f t="shared" si="0"/>
        <v>4.6295999999999997E-2</v>
      </c>
      <c r="G4">
        <f t="shared" si="1"/>
        <v>6.3147999999999996E-2</v>
      </c>
      <c r="H4">
        <f t="shared" si="2"/>
        <v>4.7038999999999997E-2</v>
      </c>
      <c r="I4" s="1">
        <f>'Fama-French Data'!A4</f>
        <v>4.7600000000000003E-2</v>
      </c>
      <c r="J4" s="1">
        <f>'Fama-French Data'!B4</f>
        <v>-1.1900000000000001E-2</v>
      </c>
      <c r="K4" s="1">
        <f>'Fama-French Data'!C4</f>
        <v>1.38E-2</v>
      </c>
      <c r="L4">
        <f>'Fama-French Data'!F4</f>
        <v>2.1299999999999999E-2</v>
      </c>
      <c r="M4">
        <f t="shared" ref="M4:M67" si="5">M3*(B4+1)</f>
        <v>1122.3803046402802</v>
      </c>
      <c r="N4">
        <f t="shared" ref="N4:N67" si="6">N3*(C4+1)</f>
        <v>1172.4570828816052</v>
      </c>
      <c r="O4">
        <f t="shared" ref="O4:O67" si="7">O3*(D4+1)</f>
        <v>1138.4755785153334</v>
      </c>
    </row>
    <row r="5" spans="1:15" x14ac:dyDescent="0.25">
      <c r="A5" s="3">
        <v>35915</v>
      </c>
      <c r="B5" s="1">
        <v>1.8679999999999999E-2</v>
      </c>
      <c r="C5" s="1">
        <v>1.8565000000000002E-2</v>
      </c>
      <c r="D5" s="1">
        <v>1.043E-2</v>
      </c>
      <c r="E5" s="1">
        <f>'Fama-French Data'!D5</f>
        <v>4.3E-3</v>
      </c>
      <c r="F5">
        <f t="shared" si="0"/>
        <v>1.4379999999999999E-2</v>
      </c>
      <c r="G5">
        <f t="shared" si="1"/>
        <v>1.4265000000000002E-2</v>
      </c>
      <c r="H5">
        <f t="shared" si="2"/>
        <v>6.13E-3</v>
      </c>
      <c r="I5" s="1">
        <f>'Fama-French Data'!A5</f>
        <v>7.4000000000000003E-3</v>
      </c>
      <c r="J5" s="1">
        <f>'Fama-French Data'!B5</f>
        <v>5.9999999999999995E-4</v>
      </c>
      <c r="K5" s="1">
        <f>'Fama-French Data'!C5</f>
        <v>1.03E-2</v>
      </c>
      <c r="L5">
        <f>'Fama-French Data'!F5</f>
        <v>7.6E-3</v>
      </c>
      <c r="M5">
        <f t="shared" si="5"/>
        <v>1143.3463687309606</v>
      </c>
      <c r="N5">
        <f t="shared" si="6"/>
        <v>1194.2237486253021</v>
      </c>
      <c r="O5">
        <f t="shared" si="7"/>
        <v>1150.3498787992482</v>
      </c>
    </row>
    <row r="6" spans="1:15" x14ac:dyDescent="0.25">
      <c r="A6" s="3">
        <v>35944</v>
      </c>
      <c r="B6" s="1">
        <v>-2.2744E-2</v>
      </c>
      <c r="C6" s="1">
        <v>-1.4019999999999999E-2</v>
      </c>
      <c r="D6" s="1">
        <v>-1.7340999999999999E-2</v>
      </c>
      <c r="E6" s="1">
        <f>'Fama-French Data'!D6</f>
        <v>4.0000000000000001E-3</v>
      </c>
      <c r="F6">
        <f t="shared" si="0"/>
        <v>-2.6744E-2</v>
      </c>
      <c r="G6">
        <f t="shared" si="1"/>
        <v>-1.8020000000000001E-2</v>
      </c>
      <c r="H6">
        <f t="shared" si="2"/>
        <v>-2.1340999999999999E-2</v>
      </c>
      <c r="I6" s="1">
        <f>'Fama-French Data'!A6</f>
        <v>-3.0700000000000002E-2</v>
      </c>
      <c r="J6" s="1">
        <f>'Fama-French Data'!B6</f>
        <v>-3.4000000000000002E-2</v>
      </c>
      <c r="K6" s="1">
        <f>'Fama-French Data'!C6</f>
        <v>3.4099999999999998E-2</v>
      </c>
      <c r="L6">
        <f>'Fama-French Data'!F6</f>
        <v>1.9099999999999999E-2</v>
      </c>
      <c r="M6">
        <f t="shared" si="5"/>
        <v>1117.3420989205438</v>
      </c>
      <c r="N6">
        <f t="shared" si="6"/>
        <v>1177.4807316695753</v>
      </c>
      <c r="O6">
        <f t="shared" si="7"/>
        <v>1130.4016615509904</v>
      </c>
    </row>
    <row r="7" spans="1:15" x14ac:dyDescent="0.25">
      <c r="A7" s="3">
        <v>35976</v>
      </c>
      <c r="B7" s="1">
        <v>3.6787E-2</v>
      </c>
      <c r="C7" s="1">
        <v>7.8208E-2</v>
      </c>
      <c r="D7" s="1">
        <v>3.9945000000000001E-2</v>
      </c>
      <c r="E7" s="1">
        <f>'Fama-French Data'!D7</f>
        <v>4.1000000000000003E-3</v>
      </c>
      <c r="F7">
        <f t="shared" si="0"/>
        <v>3.2687000000000001E-2</v>
      </c>
      <c r="G7">
        <f t="shared" si="1"/>
        <v>7.4107999999999993E-2</v>
      </c>
      <c r="H7">
        <f t="shared" si="2"/>
        <v>3.5845000000000002E-2</v>
      </c>
      <c r="I7" s="1">
        <f>'Fama-French Data'!A7</f>
        <v>3.1899999999999998E-2</v>
      </c>
      <c r="J7" s="1">
        <f>'Fama-French Data'!B7</f>
        <v>-3.1699999999999999E-2</v>
      </c>
      <c r="K7" s="1">
        <f>'Fama-French Data'!C7</f>
        <v>-2.0299999999999999E-2</v>
      </c>
      <c r="L7">
        <f>'Fama-French Data'!F7</f>
        <v>7.2599999999999998E-2</v>
      </c>
      <c r="M7">
        <f t="shared" si="5"/>
        <v>1158.4457627135337</v>
      </c>
      <c r="N7">
        <f t="shared" si="6"/>
        <v>1269.5691447319896</v>
      </c>
      <c r="O7">
        <f t="shared" si="7"/>
        <v>1175.5555559216446</v>
      </c>
    </row>
    <row r="8" spans="1:15" x14ac:dyDescent="0.25">
      <c r="A8" s="3">
        <v>36007</v>
      </c>
      <c r="B8" s="1">
        <v>-2.3196000000000001E-2</v>
      </c>
      <c r="C8" s="1">
        <v>-1.8464000000000001E-2</v>
      </c>
      <c r="D8" s="1">
        <v>-1.0952999999999999E-2</v>
      </c>
      <c r="E8" s="1">
        <f>'Fama-French Data'!D8</f>
        <v>4.0000000000000001E-3</v>
      </c>
      <c r="F8">
        <f t="shared" si="0"/>
        <v>-2.7196000000000001E-2</v>
      </c>
      <c r="G8">
        <f t="shared" si="1"/>
        <v>-2.2464000000000001E-2</v>
      </c>
      <c r="H8">
        <f t="shared" si="2"/>
        <v>-1.4952999999999999E-2</v>
      </c>
      <c r="I8" s="1">
        <f>'Fama-French Data'!A8</f>
        <v>-2.4199999999999999E-2</v>
      </c>
      <c r="J8" s="1">
        <f>'Fama-French Data'!B8</f>
        <v>-4.8300000000000003E-2</v>
      </c>
      <c r="K8" s="1">
        <f>'Fama-French Data'!C8</f>
        <v>-1.83E-2</v>
      </c>
      <c r="L8">
        <f>'Fama-French Data'!F8</f>
        <v>3.7900000000000003E-2</v>
      </c>
      <c r="M8">
        <f t="shared" si="5"/>
        <v>1131.5744548016305</v>
      </c>
      <c r="N8">
        <f t="shared" si="6"/>
        <v>1246.1278200436582</v>
      </c>
      <c r="O8">
        <f t="shared" si="7"/>
        <v>1162.6796959176347</v>
      </c>
    </row>
    <row r="9" spans="1:15" x14ac:dyDescent="0.25">
      <c r="A9" s="3">
        <v>36038</v>
      </c>
      <c r="B9" s="1">
        <v>-0.13278899999999999</v>
      </c>
      <c r="C9" s="1">
        <v>-0.181391</v>
      </c>
      <c r="D9" s="1">
        <v>-0.14274000000000001</v>
      </c>
      <c r="E9" s="1">
        <f>'Fama-French Data'!D9</f>
        <v>4.3E-3</v>
      </c>
      <c r="F9">
        <f t="shared" si="0"/>
        <v>-0.13708899999999999</v>
      </c>
      <c r="G9">
        <f t="shared" si="1"/>
        <v>-0.18569099999999999</v>
      </c>
      <c r="H9">
        <f t="shared" si="2"/>
        <v>-0.14704</v>
      </c>
      <c r="I9" s="1">
        <f>'Fama-French Data'!A9</f>
        <v>-0.1605</v>
      </c>
      <c r="J9" s="1">
        <f>'Fama-French Data'!B9</f>
        <v>-5.4699999999999999E-2</v>
      </c>
      <c r="K9" s="1">
        <f>'Fama-French Data'!C9</f>
        <v>3.5700000000000003E-2</v>
      </c>
      <c r="L9">
        <f>'Fama-French Data'!F9</f>
        <v>1.9E-2</v>
      </c>
      <c r="M9">
        <f t="shared" si="5"/>
        <v>981.31381452297671</v>
      </c>
      <c r="N9">
        <f t="shared" si="6"/>
        <v>1020.091448638119</v>
      </c>
      <c r="O9">
        <f t="shared" si="7"/>
        <v>996.71879612235159</v>
      </c>
    </row>
    <row r="10" spans="1:15" x14ac:dyDescent="0.25">
      <c r="A10" s="3">
        <v>36068</v>
      </c>
      <c r="B10" s="1">
        <v>5.3037000000000001E-2</v>
      </c>
      <c r="C10" s="1">
        <v>8.8222999999999996E-2</v>
      </c>
      <c r="D10" s="1">
        <v>6.3129000000000005E-2</v>
      </c>
      <c r="E10" s="1">
        <f>'Fama-French Data'!D10</f>
        <v>4.5999999999999999E-3</v>
      </c>
      <c r="F10">
        <f t="shared" si="0"/>
        <v>4.8437000000000001E-2</v>
      </c>
      <c r="G10">
        <f t="shared" si="1"/>
        <v>8.3623000000000003E-2</v>
      </c>
      <c r="H10">
        <f t="shared" si="2"/>
        <v>5.8529000000000005E-2</v>
      </c>
      <c r="I10" s="1">
        <f>'Fama-French Data'!A10</f>
        <v>6.1899999999999997E-2</v>
      </c>
      <c r="J10" s="1">
        <f>'Fama-French Data'!B10</f>
        <v>-2.0000000000000001E-4</v>
      </c>
      <c r="K10" s="1">
        <f>'Fama-French Data'!C10</f>
        <v>-3.5099999999999999E-2</v>
      </c>
      <c r="L10">
        <f>'Fama-French Data'!F10</f>
        <v>-6.4999999999999997E-3</v>
      </c>
      <c r="M10">
        <f t="shared" si="5"/>
        <v>1033.3597553038319</v>
      </c>
      <c r="N10">
        <f t="shared" si="6"/>
        <v>1110.0869765113198</v>
      </c>
      <c r="O10">
        <f t="shared" si="7"/>
        <v>1059.6406570027596</v>
      </c>
    </row>
    <row r="11" spans="1:15" x14ac:dyDescent="0.25">
      <c r="A11" s="3">
        <v>36098</v>
      </c>
      <c r="B11" s="1">
        <v>6.7774000000000001E-2</v>
      </c>
      <c r="C11" s="1">
        <v>3.9969999999999999E-2</v>
      </c>
      <c r="D11" s="1">
        <v>8.3672999999999997E-2</v>
      </c>
      <c r="E11" s="1">
        <f>'Fama-French Data'!D11</f>
        <v>3.2000000000000002E-3</v>
      </c>
      <c r="F11">
        <f t="shared" si="0"/>
        <v>6.4574000000000006E-2</v>
      </c>
      <c r="G11">
        <f t="shared" si="1"/>
        <v>3.6769999999999997E-2</v>
      </c>
      <c r="H11">
        <f t="shared" si="2"/>
        <v>8.0473000000000003E-2</v>
      </c>
      <c r="I11" s="1">
        <f>'Fama-French Data'!A11</f>
        <v>6.9800000000000001E-2</v>
      </c>
      <c r="J11" s="1">
        <f>'Fama-French Data'!B11</f>
        <v>-2.98E-2</v>
      </c>
      <c r="K11" s="1">
        <f>'Fama-French Data'!C11</f>
        <v>-2.3300000000000001E-2</v>
      </c>
      <c r="L11">
        <f>'Fama-French Data'!F11</f>
        <v>-5.33E-2</v>
      </c>
      <c r="M11">
        <f t="shared" si="5"/>
        <v>1103.3946793597938</v>
      </c>
      <c r="N11">
        <f t="shared" si="6"/>
        <v>1154.4571529624773</v>
      </c>
      <c r="O11">
        <f t="shared" si="7"/>
        <v>1148.3039696961516</v>
      </c>
    </row>
    <row r="12" spans="1:15" x14ac:dyDescent="0.25">
      <c r="A12" s="3">
        <v>36129</v>
      </c>
      <c r="B12" s="1">
        <v>5.4995000000000002E-2</v>
      </c>
      <c r="C12" s="1">
        <v>7.5053999999999996E-2</v>
      </c>
      <c r="D12" s="1">
        <v>5.9887000000000003E-2</v>
      </c>
      <c r="E12" s="1">
        <f>'Fama-French Data'!D12</f>
        <v>3.0999999999999999E-3</v>
      </c>
      <c r="F12">
        <f t="shared" si="0"/>
        <v>5.1895000000000004E-2</v>
      </c>
      <c r="G12">
        <f t="shared" si="1"/>
        <v>7.195399999999999E-2</v>
      </c>
      <c r="H12">
        <f t="shared" si="2"/>
        <v>5.6787000000000004E-2</v>
      </c>
      <c r="I12" s="1">
        <f>'Fama-French Data'!A12</f>
        <v>6.0699999999999997E-2</v>
      </c>
      <c r="J12" s="1">
        <f>'Fama-French Data'!B12</f>
        <v>1.26E-2</v>
      </c>
      <c r="K12" s="1">
        <f>'Fama-French Data'!C12</f>
        <v>-3.2399999999999998E-2</v>
      </c>
      <c r="L12">
        <f>'Fama-French Data'!F12</f>
        <v>1.1299999999999999E-2</v>
      </c>
      <c r="M12">
        <f t="shared" si="5"/>
        <v>1164.0758697511856</v>
      </c>
      <c r="N12">
        <f t="shared" si="6"/>
        <v>1241.1037801209229</v>
      </c>
      <c r="O12">
        <f t="shared" si="7"/>
        <v>1217.072449529345</v>
      </c>
    </row>
    <row r="13" spans="1:15" x14ac:dyDescent="0.25">
      <c r="A13" s="3">
        <v>36160</v>
      </c>
      <c r="B13" s="1">
        <v>6.0144000000000003E-2</v>
      </c>
      <c r="C13" s="1">
        <v>0.11913600000000001</v>
      </c>
      <c r="D13" s="1">
        <v>5.7832000000000001E-2</v>
      </c>
      <c r="E13" s="1">
        <f>'Fama-French Data'!D13</f>
        <v>3.8E-3</v>
      </c>
      <c r="F13">
        <f t="shared" si="0"/>
        <v>5.6344000000000005E-2</v>
      </c>
      <c r="G13">
        <f t="shared" si="1"/>
        <v>0.11533600000000001</v>
      </c>
      <c r="H13">
        <f t="shared" si="2"/>
        <v>5.4032000000000004E-2</v>
      </c>
      <c r="I13" s="1">
        <f>'Fama-French Data'!A13</f>
        <v>6.1499999999999999E-2</v>
      </c>
      <c r="J13" s="1">
        <f>'Fama-French Data'!B13</f>
        <v>-4.5999999999999999E-3</v>
      </c>
      <c r="K13" s="1">
        <f>'Fama-French Data'!C13</f>
        <v>-4.2500000000000003E-2</v>
      </c>
      <c r="L13">
        <f>'Fama-French Data'!F13</f>
        <v>8.8700000000000001E-2</v>
      </c>
      <c r="M13">
        <f t="shared" si="5"/>
        <v>1234.0880488615007</v>
      </c>
      <c r="N13">
        <f t="shared" si="6"/>
        <v>1388.9639200694091</v>
      </c>
      <c r="O13">
        <f t="shared" si="7"/>
        <v>1287.4581834305263</v>
      </c>
    </row>
    <row r="14" spans="1:15" x14ac:dyDescent="0.25">
      <c r="A14" s="3">
        <v>36189</v>
      </c>
      <c r="B14" s="1">
        <v>4.0927999999999999E-2</v>
      </c>
      <c r="C14" s="1">
        <v>7.671E-2</v>
      </c>
      <c r="D14" s="1">
        <v>4.3195999999999998E-2</v>
      </c>
      <c r="E14" s="1">
        <f>'Fama-French Data'!D14</f>
        <v>3.5000000000000001E-3</v>
      </c>
      <c r="F14">
        <f t="shared" si="0"/>
        <v>3.7427999999999996E-2</v>
      </c>
      <c r="G14">
        <f t="shared" si="1"/>
        <v>7.3209999999999997E-2</v>
      </c>
      <c r="H14">
        <f t="shared" si="2"/>
        <v>3.9695999999999995E-2</v>
      </c>
      <c r="I14" s="1">
        <f>'Fama-French Data'!A14</f>
        <v>3.4799999999999998E-2</v>
      </c>
      <c r="J14" s="1">
        <f>'Fama-French Data'!B14</f>
        <v>6.7000000000000002E-3</v>
      </c>
      <c r="K14" s="1">
        <f>'Fama-French Data'!C14</f>
        <v>-4.4600000000000001E-2</v>
      </c>
      <c r="L14">
        <f>'Fama-French Data'!F14</f>
        <v>2.8400000000000002E-2</v>
      </c>
      <c r="M14">
        <f t="shared" si="5"/>
        <v>1284.5968045253044</v>
      </c>
      <c r="N14">
        <f t="shared" si="6"/>
        <v>1495.5113423779335</v>
      </c>
      <c r="O14">
        <f t="shared" si="7"/>
        <v>1343.0712271219913</v>
      </c>
    </row>
    <row r="15" spans="1:15" x14ac:dyDescent="0.25">
      <c r="A15" s="3">
        <v>36217</v>
      </c>
      <c r="B15" s="1">
        <v>-3.4076000000000002E-2</v>
      </c>
      <c r="C15" s="1">
        <v>-4.2361999999999997E-2</v>
      </c>
      <c r="D15" s="1">
        <v>-3.0780999999999999E-2</v>
      </c>
      <c r="E15" s="1">
        <f>'Fama-French Data'!D15</f>
        <v>3.5000000000000001E-3</v>
      </c>
      <c r="F15">
        <f t="shared" si="0"/>
        <v>-3.7576000000000005E-2</v>
      </c>
      <c r="G15">
        <f t="shared" si="1"/>
        <v>-4.5862E-2</v>
      </c>
      <c r="H15">
        <f t="shared" si="2"/>
        <v>-3.4280999999999999E-2</v>
      </c>
      <c r="I15" s="1">
        <f>'Fama-French Data'!A15</f>
        <v>-4.0800000000000003E-2</v>
      </c>
      <c r="J15" s="1">
        <f>'Fama-French Data'!B15</f>
        <v>-6.0199999999999997E-2</v>
      </c>
      <c r="K15" s="1">
        <f>'Fama-French Data'!C15</f>
        <v>1.95E-2</v>
      </c>
      <c r="L15">
        <f>'Fama-French Data'!F15</f>
        <v>-1.4E-3</v>
      </c>
      <c r="M15">
        <f t="shared" si="5"/>
        <v>1240.8228838143002</v>
      </c>
      <c r="N15">
        <f t="shared" si="6"/>
        <v>1432.1584908921195</v>
      </c>
      <c r="O15">
        <f t="shared" si="7"/>
        <v>1301.7301516799494</v>
      </c>
    </row>
    <row r="16" spans="1:15" x14ac:dyDescent="0.25">
      <c r="A16" s="3">
        <v>36250</v>
      </c>
      <c r="B16" s="1">
        <v>4.4776000000000003E-2</v>
      </c>
      <c r="C16" s="1">
        <v>4.7921999999999999E-2</v>
      </c>
      <c r="D16" s="1">
        <v>3.9190999999999997E-2</v>
      </c>
      <c r="E16" s="1">
        <f>'Fama-French Data'!D16</f>
        <v>4.3E-3</v>
      </c>
      <c r="F16">
        <f t="shared" si="0"/>
        <v>4.0476000000000005E-2</v>
      </c>
      <c r="G16">
        <f t="shared" si="1"/>
        <v>4.3622000000000001E-2</v>
      </c>
      <c r="H16">
        <f t="shared" si="2"/>
        <v>3.4890999999999998E-2</v>
      </c>
      <c r="I16" s="1">
        <f>'Fama-French Data'!A16</f>
        <v>3.4799999999999998E-2</v>
      </c>
      <c r="J16" s="1">
        <f>'Fama-French Data'!B16</f>
        <v>-3.8399999999999997E-2</v>
      </c>
      <c r="K16" s="1">
        <f>'Fama-French Data'!C16</f>
        <v>-2.6100000000000002E-2</v>
      </c>
      <c r="L16">
        <f>'Fama-French Data'!F16</f>
        <v>-1.21E-2</v>
      </c>
      <c r="M16">
        <f t="shared" si="5"/>
        <v>1296.3819692599693</v>
      </c>
      <c r="N16">
        <f t="shared" si="6"/>
        <v>1500.7903900926517</v>
      </c>
      <c r="O16">
        <f t="shared" si="7"/>
        <v>1352.7462580544382</v>
      </c>
    </row>
    <row r="17" spans="1:15" x14ac:dyDescent="0.25">
      <c r="A17" s="3">
        <v>36280</v>
      </c>
      <c r="B17" s="1">
        <v>3.5020000000000003E-2</v>
      </c>
      <c r="C17" s="1">
        <v>-2.5902999999999999E-2</v>
      </c>
      <c r="D17" s="1">
        <v>3.6860999999999998E-2</v>
      </c>
      <c r="E17" s="1">
        <f>'Fama-French Data'!D17</f>
        <v>3.7000000000000002E-3</v>
      </c>
      <c r="F17">
        <f t="shared" si="0"/>
        <v>3.1320000000000001E-2</v>
      </c>
      <c r="G17">
        <f t="shared" si="1"/>
        <v>-2.9602999999999997E-2</v>
      </c>
      <c r="H17">
        <f t="shared" si="2"/>
        <v>3.3160999999999996E-2</v>
      </c>
      <c r="I17" s="1">
        <f>'Fama-French Data'!A17</f>
        <v>4.3400000000000001E-2</v>
      </c>
      <c r="J17" s="1">
        <f>'Fama-French Data'!B17</f>
        <v>3.8899999999999997E-2</v>
      </c>
      <c r="K17" s="1">
        <f>'Fama-French Data'!C17</f>
        <v>2.4E-2</v>
      </c>
      <c r="L17">
        <f>'Fama-French Data'!F17</f>
        <v>-8.9800000000000005E-2</v>
      </c>
      <c r="M17">
        <f t="shared" si="5"/>
        <v>1341.7812658234534</v>
      </c>
      <c r="N17">
        <f t="shared" si="6"/>
        <v>1461.9154166180817</v>
      </c>
      <c r="O17">
        <f t="shared" si="7"/>
        <v>1402.6098378725828</v>
      </c>
    </row>
    <row r="18" spans="1:15" x14ac:dyDescent="0.25">
      <c r="A18" s="3">
        <v>36308</v>
      </c>
      <c r="B18" s="1">
        <v>-3.5153999999999998E-2</v>
      </c>
      <c r="C18" s="1">
        <v>-5.2527999999999998E-2</v>
      </c>
      <c r="D18" s="1">
        <v>-2.4639000000000001E-2</v>
      </c>
      <c r="E18" s="1">
        <f>'Fama-French Data'!D18</f>
        <v>3.3999999999999998E-3</v>
      </c>
      <c r="F18">
        <f t="shared" si="0"/>
        <v>-3.8553999999999998E-2</v>
      </c>
      <c r="G18">
        <f t="shared" si="1"/>
        <v>-5.5927999999999999E-2</v>
      </c>
      <c r="H18">
        <f t="shared" si="2"/>
        <v>-2.8039000000000001E-2</v>
      </c>
      <c r="I18" s="1">
        <f>'Fama-French Data'!A18</f>
        <v>-2.46E-2</v>
      </c>
      <c r="J18" s="1">
        <f>'Fama-French Data'!B18</f>
        <v>3.32E-2</v>
      </c>
      <c r="K18" s="1">
        <f>'Fama-French Data'!C18</f>
        <v>2.4899999999999999E-2</v>
      </c>
      <c r="L18">
        <f>'Fama-French Data'!F18</f>
        <v>-5.2499999999999998E-2</v>
      </c>
      <c r="M18">
        <f t="shared" si="5"/>
        <v>1294.6122872046958</v>
      </c>
      <c r="N18">
        <f t="shared" si="6"/>
        <v>1385.123923613967</v>
      </c>
      <c r="O18">
        <f t="shared" si="7"/>
        <v>1368.0509340772403</v>
      </c>
    </row>
    <row r="19" spans="1:15" x14ac:dyDescent="0.25">
      <c r="A19" s="3">
        <v>36341</v>
      </c>
      <c r="B19" s="1">
        <v>5.5302999999999998E-2</v>
      </c>
      <c r="C19" s="1">
        <v>7.9349000000000003E-2</v>
      </c>
      <c r="D19" s="1">
        <v>5.5185999999999999E-2</v>
      </c>
      <c r="E19" s="1">
        <f>'Fama-French Data'!D19</f>
        <v>4.0000000000000001E-3</v>
      </c>
      <c r="F19">
        <f t="shared" si="0"/>
        <v>5.1303000000000001E-2</v>
      </c>
      <c r="G19">
        <f t="shared" si="1"/>
        <v>7.5348999999999999E-2</v>
      </c>
      <c r="H19">
        <f t="shared" si="2"/>
        <v>5.1185999999999995E-2</v>
      </c>
      <c r="I19" s="1">
        <f>'Fama-French Data'!A19</f>
        <v>4.7699999999999999E-2</v>
      </c>
      <c r="J19" s="1">
        <f>'Fama-French Data'!B19</f>
        <v>3.2300000000000002E-2</v>
      </c>
      <c r="K19" s="1">
        <f>'Fama-French Data'!C19</f>
        <v>-3.2199999999999999E-2</v>
      </c>
      <c r="L19">
        <f>'Fama-French Data'!F19</f>
        <v>4.6600000000000003E-2</v>
      </c>
      <c r="M19">
        <f t="shared" si="5"/>
        <v>1366.2082305239771</v>
      </c>
      <c r="N19">
        <f t="shared" si="6"/>
        <v>1495.0321218288118</v>
      </c>
      <c r="O19">
        <f t="shared" si="7"/>
        <v>1443.5481929252269</v>
      </c>
    </row>
    <row r="20" spans="1:15" x14ac:dyDescent="0.25">
      <c r="A20" s="3">
        <v>36371</v>
      </c>
      <c r="B20" s="1">
        <v>-4.3656E-2</v>
      </c>
      <c r="C20" s="1">
        <v>-4.2696999999999999E-2</v>
      </c>
      <c r="D20" s="1">
        <v>-3.0542E-2</v>
      </c>
      <c r="E20" s="1">
        <f>'Fama-French Data'!D20</f>
        <v>3.8E-3</v>
      </c>
      <c r="F20">
        <f t="shared" si="0"/>
        <v>-4.7455999999999998E-2</v>
      </c>
      <c r="G20">
        <f t="shared" si="1"/>
        <v>-4.6496999999999997E-2</v>
      </c>
      <c r="H20">
        <f t="shared" si="2"/>
        <v>-3.4341999999999998E-2</v>
      </c>
      <c r="I20" s="1">
        <f>'Fama-French Data'!A20</f>
        <v>-3.49E-2</v>
      </c>
      <c r="J20" s="1">
        <f>'Fama-French Data'!B20</f>
        <v>2.4799999999999999E-2</v>
      </c>
      <c r="K20" s="1">
        <f>'Fama-French Data'!C20</f>
        <v>-1.8E-3</v>
      </c>
      <c r="L20">
        <f>'Fama-French Data'!F20</f>
        <v>1.7000000000000001E-2</v>
      </c>
      <c r="M20">
        <f t="shared" si="5"/>
        <v>1306.5650440122224</v>
      </c>
      <c r="N20">
        <f t="shared" si="6"/>
        <v>1431.198735323087</v>
      </c>
      <c r="O20">
        <f t="shared" si="7"/>
        <v>1399.4593440169047</v>
      </c>
    </row>
    <row r="21" spans="1:15" x14ac:dyDescent="0.25">
      <c r="A21" s="3">
        <v>36403</v>
      </c>
      <c r="B21" s="1">
        <v>-1.0961E-2</v>
      </c>
      <c r="C21" s="1">
        <v>1.6770000000000001E-3</v>
      </c>
      <c r="D21" s="1">
        <v>-4.6020000000000002E-3</v>
      </c>
      <c r="E21" s="1">
        <f>'Fama-French Data'!D21</f>
        <v>3.8999999999999998E-3</v>
      </c>
      <c r="F21">
        <f t="shared" si="0"/>
        <v>-1.4860999999999999E-2</v>
      </c>
      <c r="G21">
        <f t="shared" si="1"/>
        <v>-2.2229999999999997E-3</v>
      </c>
      <c r="H21">
        <f t="shared" si="2"/>
        <v>-8.5019999999999991E-3</v>
      </c>
      <c r="I21" s="1">
        <f>'Fama-French Data'!A21</f>
        <v>-1.37E-2</v>
      </c>
      <c r="J21" s="1">
        <f>'Fama-French Data'!B21</f>
        <v>-9.4999999999999998E-3</v>
      </c>
      <c r="K21" s="1">
        <f>'Fama-French Data'!C21</f>
        <v>-1.9300000000000001E-2</v>
      </c>
      <c r="L21">
        <f>'Fama-French Data'!F21</f>
        <v>2.98E-2</v>
      </c>
      <c r="M21">
        <f t="shared" si="5"/>
        <v>1292.2437845648044</v>
      </c>
      <c r="N21">
        <f t="shared" si="6"/>
        <v>1433.5988556022237</v>
      </c>
      <c r="O21">
        <f t="shared" si="7"/>
        <v>1393.0190321157388</v>
      </c>
    </row>
    <row r="22" spans="1:15" x14ac:dyDescent="0.25">
      <c r="A22" s="3">
        <v>36433</v>
      </c>
      <c r="B22" s="1">
        <v>-1.043E-2</v>
      </c>
      <c r="C22" s="1">
        <v>-5.3569999999999998E-3</v>
      </c>
      <c r="D22" s="1">
        <v>-2.7428999999999999E-2</v>
      </c>
      <c r="E22" s="1">
        <f>'Fama-French Data'!D22</f>
        <v>3.8999999999999998E-3</v>
      </c>
      <c r="F22">
        <f t="shared" si="0"/>
        <v>-1.4329999999999999E-2</v>
      </c>
      <c r="G22">
        <f t="shared" si="1"/>
        <v>-9.2569999999999996E-3</v>
      </c>
      <c r="H22">
        <f t="shared" si="2"/>
        <v>-3.1328999999999996E-2</v>
      </c>
      <c r="I22" s="1">
        <f>'Fama-French Data'!A22</f>
        <v>-2.7699999999999999E-2</v>
      </c>
      <c r="J22" s="1">
        <f>'Fama-French Data'!B22</f>
        <v>3.1199999999999999E-2</v>
      </c>
      <c r="K22" s="1">
        <f>'Fama-French Data'!C22</f>
        <v>-2.9000000000000001E-2</v>
      </c>
      <c r="L22">
        <f>'Fama-French Data'!F22</f>
        <v>6.3799999999999996E-2</v>
      </c>
      <c r="M22">
        <f t="shared" si="5"/>
        <v>1278.7656818917935</v>
      </c>
      <c r="N22">
        <f t="shared" si="6"/>
        <v>1425.9190665327626</v>
      </c>
      <c r="O22">
        <f t="shared" si="7"/>
        <v>1354.8099130838361</v>
      </c>
    </row>
    <row r="23" spans="1:15" x14ac:dyDescent="0.25">
      <c r="A23" s="3">
        <v>36462</v>
      </c>
      <c r="B23" s="1">
        <v>5.5303999999999999E-2</v>
      </c>
      <c r="C23" s="1">
        <v>8.1116999999999995E-2</v>
      </c>
      <c r="D23" s="1">
        <v>6.3166E-2</v>
      </c>
      <c r="E23" s="1">
        <f>'Fama-French Data'!D23</f>
        <v>3.8999999999999998E-3</v>
      </c>
      <c r="F23">
        <f t="shared" si="0"/>
        <v>5.1403999999999998E-2</v>
      </c>
      <c r="G23">
        <f t="shared" si="1"/>
        <v>7.7216999999999994E-2</v>
      </c>
      <c r="H23">
        <f t="shared" si="2"/>
        <v>5.9265999999999999E-2</v>
      </c>
      <c r="I23" s="1">
        <f>'Fama-French Data'!A23</f>
        <v>6.0900000000000003E-2</v>
      </c>
      <c r="J23" s="1">
        <f>'Fama-French Data'!B23</f>
        <v>-6.9400000000000003E-2</v>
      </c>
      <c r="K23" s="1">
        <f>'Fama-French Data'!C23</f>
        <v>-2.8799999999999999E-2</v>
      </c>
      <c r="L23">
        <f>'Fama-French Data'!F23</f>
        <v>5.45E-2</v>
      </c>
      <c r="M23">
        <f t="shared" si="5"/>
        <v>1349.4865391631372</v>
      </c>
      <c r="N23">
        <f t="shared" si="6"/>
        <v>1541.5853434527005</v>
      </c>
      <c r="O23">
        <f t="shared" si="7"/>
        <v>1440.3878360536899</v>
      </c>
    </row>
    <row r="24" spans="1:15" x14ac:dyDescent="0.25">
      <c r="A24" s="3">
        <v>36494</v>
      </c>
      <c r="B24" s="1">
        <v>3.4659000000000002E-2</v>
      </c>
      <c r="C24" s="1">
        <v>6.6625000000000004E-2</v>
      </c>
      <c r="D24" s="1">
        <v>2.0086E-2</v>
      </c>
      <c r="E24" s="1">
        <f>'Fama-French Data'!D24</f>
        <v>3.5999999999999999E-3</v>
      </c>
      <c r="F24">
        <f t="shared" si="0"/>
        <v>3.1059000000000003E-2</v>
      </c>
      <c r="G24">
        <f t="shared" si="1"/>
        <v>6.3024999999999998E-2</v>
      </c>
      <c r="H24">
        <f t="shared" si="2"/>
        <v>1.6486000000000001E-2</v>
      </c>
      <c r="I24" s="1">
        <f>'Fama-French Data'!A24</f>
        <v>3.4099999999999998E-2</v>
      </c>
      <c r="J24" s="1">
        <f>'Fama-French Data'!B24</f>
        <v>6.8699999999999997E-2</v>
      </c>
      <c r="K24" s="1">
        <f>'Fama-French Data'!C24</f>
        <v>-5.6500000000000002E-2</v>
      </c>
      <c r="L24">
        <f>'Fama-French Data'!F24</f>
        <v>5.4899999999999997E-2</v>
      </c>
      <c r="M24">
        <f t="shared" si="5"/>
        <v>1396.2583931239924</v>
      </c>
      <c r="N24">
        <f t="shared" si="6"/>
        <v>1644.2934669602366</v>
      </c>
      <c r="O24">
        <f t="shared" si="7"/>
        <v>1469.3194661286643</v>
      </c>
    </row>
    <row r="25" spans="1:15" x14ac:dyDescent="0.25">
      <c r="A25" s="3">
        <v>36525</v>
      </c>
      <c r="B25" s="1">
        <v>8.8963E-2</v>
      </c>
      <c r="C25" s="1">
        <v>0.18115600000000001</v>
      </c>
      <c r="D25" s="1">
        <v>6.0393000000000002E-2</v>
      </c>
      <c r="E25" s="1">
        <f>'Fama-French Data'!D25</f>
        <v>4.4000000000000003E-3</v>
      </c>
      <c r="F25">
        <f t="shared" si="0"/>
        <v>8.4562999999999999E-2</v>
      </c>
      <c r="G25">
        <f t="shared" si="1"/>
        <v>0.17675600000000002</v>
      </c>
      <c r="H25">
        <f t="shared" si="2"/>
        <v>5.5993000000000001E-2</v>
      </c>
      <c r="I25" s="1">
        <f>'Fama-French Data'!A25</f>
        <v>7.6600000000000001E-2</v>
      </c>
      <c r="J25" s="1">
        <f>'Fama-French Data'!B25</f>
        <v>6.5600000000000006E-2</v>
      </c>
      <c r="K25" s="1">
        <f>'Fama-French Data'!C25</f>
        <v>-7.6600000000000001E-2</v>
      </c>
      <c r="L25">
        <f>'Fama-French Data'!F25</f>
        <v>0.13139999999999999</v>
      </c>
      <c r="M25">
        <f t="shared" si="5"/>
        <v>1520.4737285514821</v>
      </c>
      <c r="N25">
        <f t="shared" si="6"/>
        <v>1942.1670942608855</v>
      </c>
      <c r="O25">
        <f t="shared" si="7"/>
        <v>1558.0560766465726</v>
      </c>
    </row>
    <row r="26" spans="1:15" x14ac:dyDescent="0.25">
      <c r="A26" s="3">
        <v>36556</v>
      </c>
      <c r="B26" s="1">
        <v>-5.4053999999999998E-2</v>
      </c>
      <c r="C26" s="1">
        <v>-4.2285999999999997E-2</v>
      </c>
      <c r="D26" s="1">
        <v>-5.0319000000000003E-2</v>
      </c>
      <c r="E26" s="1">
        <f>'Fama-French Data'!D26</f>
        <v>4.1000000000000003E-3</v>
      </c>
      <c r="F26">
        <f t="shared" si="0"/>
        <v>-5.8153999999999997E-2</v>
      </c>
      <c r="G26">
        <f t="shared" si="1"/>
        <v>-4.6385999999999997E-2</v>
      </c>
      <c r="H26">
        <f t="shared" si="2"/>
        <v>-5.4419000000000002E-2</v>
      </c>
      <c r="I26" s="1">
        <f>'Fama-French Data'!A26</f>
        <v>-4.7399999999999998E-2</v>
      </c>
      <c r="J26" s="1">
        <f>'Fama-French Data'!B26</f>
        <v>5.16E-2</v>
      </c>
      <c r="K26" s="1">
        <f>'Fama-French Data'!C26</f>
        <v>-1.12E-2</v>
      </c>
      <c r="L26">
        <f>'Fama-French Data'!F26</f>
        <v>1.8599999999999998E-2</v>
      </c>
      <c r="M26">
        <f t="shared" si="5"/>
        <v>1438.2860416283602</v>
      </c>
      <c r="N26">
        <f t="shared" si="6"/>
        <v>1860.0406165129696</v>
      </c>
      <c r="O26">
        <f t="shared" si="7"/>
        <v>1479.6562529257938</v>
      </c>
    </row>
    <row r="27" spans="1:15" x14ac:dyDescent="0.25">
      <c r="A27" s="3">
        <v>36585</v>
      </c>
      <c r="B27" s="1">
        <v>6.1039000000000003E-2</v>
      </c>
      <c r="C27" s="1">
        <v>0.102314</v>
      </c>
      <c r="D27" s="1">
        <v>-1.9428000000000001E-2</v>
      </c>
      <c r="E27" s="1">
        <f>'Fama-French Data'!D27</f>
        <v>4.3E-3</v>
      </c>
      <c r="F27">
        <f t="shared" si="0"/>
        <v>5.6739000000000005E-2</v>
      </c>
      <c r="G27">
        <f t="shared" si="1"/>
        <v>9.8014000000000004E-2</v>
      </c>
      <c r="H27">
        <f t="shared" si="2"/>
        <v>-2.3727999999999999E-2</v>
      </c>
      <c r="I27" s="1">
        <f>'Fama-French Data'!A27</f>
        <v>2.46E-2</v>
      </c>
      <c r="J27" s="1">
        <f>'Fama-French Data'!B27</f>
        <v>0.21249999999999999</v>
      </c>
      <c r="K27" s="1">
        <f>'Fama-French Data'!C27</f>
        <v>-9.7699999999999995E-2</v>
      </c>
      <c r="L27">
        <f>'Fama-French Data'!F27</f>
        <v>0.1802</v>
      </c>
      <c r="M27">
        <f t="shared" si="5"/>
        <v>1526.0775833233138</v>
      </c>
      <c r="N27">
        <f t="shared" si="6"/>
        <v>2050.3488121508776</v>
      </c>
      <c r="O27">
        <f t="shared" si="7"/>
        <v>1450.9094912439514</v>
      </c>
    </row>
    <row r="28" spans="1:15" x14ac:dyDescent="0.25">
      <c r="A28" s="3">
        <v>36616</v>
      </c>
      <c r="B28" s="1">
        <v>6.3646999999999995E-2</v>
      </c>
      <c r="C28" s="1">
        <v>4.6133E-2</v>
      </c>
      <c r="D28" s="1">
        <v>9.6805000000000002E-2</v>
      </c>
      <c r="E28" s="1">
        <f>'Fama-French Data'!D28</f>
        <v>4.7000000000000002E-3</v>
      </c>
      <c r="F28">
        <f t="shared" si="0"/>
        <v>5.8946999999999992E-2</v>
      </c>
      <c r="G28">
        <f t="shared" si="1"/>
        <v>4.1432999999999998E-2</v>
      </c>
      <c r="H28">
        <f t="shared" si="2"/>
        <v>9.2105000000000006E-2</v>
      </c>
      <c r="I28" s="1">
        <f>'Fama-French Data'!A28</f>
        <v>5.21E-2</v>
      </c>
      <c r="J28" s="1">
        <f>'Fama-French Data'!B28</f>
        <v>-0.1741</v>
      </c>
      <c r="K28" s="1">
        <f>'Fama-French Data'!C28</f>
        <v>8.5000000000000006E-2</v>
      </c>
      <c r="L28">
        <f>'Fama-French Data'!F28</f>
        <v>-6.8500000000000005E-2</v>
      </c>
      <c r="M28">
        <f t="shared" si="5"/>
        <v>1623.2078432690928</v>
      </c>
      <c r="N28">
        <f t="shared" si="6"/>
        <v>2144.9375539018342</v>
      </c>
      <c r="O28">
        <f t="shared" si="7"/>
        <v>1591.3647845438222</v>
      </c>
    </row>
    <row r="29" spans="1:15" x14ac:dyDescent="0.25">
      <c r="A29" s="3">
        <v>36644</v>
      </c>
      <c r="B29" s="1">
        <v>-1.7836999999999999E-2</v>
      </c>
      <c r="C29" s="1">
        <v>-9.0309E-2</v>
      </c>
      <c r="D29" s="1">
        <v>-3.0972E-2</v>
      </c>
      <c r="E29" s="1">
        <f>'Fama-French Data'!D29</f>
        <v>4.5999999999999999E-3</v>
      </c>
      <c r="F29">
        <f t="shared" si="0"/>
        <v>-2.2436999999999999E-2</v>
      </c>
      <c r="G29">
        <f t="shared" si="1"/>
        <v>-9.4908999999999993E-2</v>
      </c>
      <c r="H29">
        <f t="shared" si="2"/>
        <v>-3.5571999999999999E-2</v>
      </c>
      <c r="I29" s="1">
        <f>'Fama-French Data'!A29</f>
        <v>-6.3899999999999998E-2</v>
      </c>
      <c r="J29" s="1">
        <f>'Fama-French Data'!B29</f>
        <v>-0.06</v>
      </c>
      <c r="K29" s="1">
        <f>'Fama-French Data'!C29</f>
        <v>6.4500000000000002E-2</v>
      </c>
      <c r="L29">
        <f>'Fama-French Data'!F29</f>
        <v>-8.5999999999999993E-2</v>
      </c>
      <c r="M29">
        <f t="shared" si="5"/>
        <v>1594.2546849687019</v>
      </c>
      <c r="N29">
        <f t="shared" si="6"/>
        <v>1951.2303883465136</v>
      </c>
      <c r="O29">
        <f t="shared" si="7"/>
        <v>1542.0770344369309</v>
      </c>
    </row>
    <row r="30" spans="1:15" x14ac:dyDescent="0.25">
      <c r="A30" s="3">
        <v>36677</v>
      </c>
      <c r="B30" s="1">
        <v>-3.8663999999999997E-2</v>
      </c>
      <c r="C30" s="1">
        <v>-8.4180000000000005E-2</v>
      </c>
      <c r="D30" s="1">
        <v>-1.9720999999999999E-2</v>
      </c>
      <c r="E30" s="1">
        <f>'Fama-French Data'!D30</f>
        <v>5.0000000000000001E-3</v>
      </c>
      <c r="F30">
        <f t="shared" si="0"/>
        <v>-4.3663999999999994E-2</v>
      </c>
      <c r="G30">
        <f t="shared" si="1"/>
        <v>-8.9180000000000009E-2</v>
      </c>
      <c r="H30">
        <f t="shared" si="2"/>
        <v>-2.4721E-2</v>
      </c>
      <c r="I30" s="1">
        <f>'Fama-French Data'!A30</f>
        <v>-4.3900000000000002E-2</v>
      </c>
      <c r="J30" s="1">
        <f>'Fama-French Data'!B30</f>
        <v>-6.08E-2</v>
      </c>
      <c r="K30" s="1">
        <f>'Fama-French Data'!C30</f>
        <v>4.5900000000000003E-2</v>
      </c>
      <c r="L30">
        <f>'Fama-French Data'!F30</f>
        <v>-8.9899999999999994E-2</v>
      </c>
      <c r="M30">
        <f t="shared" si="5"/>
        <v>1532.6144218290719</v>
      </c>
      <c r="N30">
        <f t="shared" si="6"/>
        <v>1786.975814255504</v>
      </c>
      <c r="O30">
        <f t="shared" si="7"/>
        <v>1511.6657332408001</v>
      </c>
    </row>
    <row r="31" spans="1:15" x14ac:dyDescent="0.25">
      <c r="A31" s="3">
        <v>36707</v>
      </c>
      <c r="B31" s="1">
        <v>2.1328E-2</v>
      </c>
      <c r="C31" s="1">
        <v>9.8573999999999995E-2</v>
      </c>
      <c r="D31" s="1">
        <v>2.4492E-2</v>
      </c>
      <c r="E31" s="1">
        <f>'Fama-French Data'!D31</f>
        <v>4.0000000000000001E-3</v>
      </c>
      <c r="F31">
        <f t="shared" si="0"/>
        <v>1.7328E-2</v>
      </c>
      <c r="G31">
        <f t="shared" si="1"/>
        <v>9.4573999999999991E-2</v>
      </c>
      <c r="H31">
        <f t="shared" si="2"/>
        <v>2.0492E-2</v>
      </c>
      <c r="I31" s="1">
        <f>'Fama-French Data'!A31</f>
        <v>4.6800000000000001E-2</v>
      </c>
      <c r="J31" s="1">
        <f>'Fama-French Data'!B31</f>
        <v>0.12709999999999999</v>
      </c>
      <c r="K31" s="1">
        <f>'Fama-French Data'!C31</f>
        <v>-8.0399999999999999E-2</v>
      </c>
      <c r="L31">
        <f>'Fama-French Data'!F31</f>
        <v>0.1663</v>
      </c>
      <c r="M31">
        <f t="shared" si="5"/>
        <v>1565.3020222178425</v>
      </c>
      <c r="N31">
        <f t="shared" si="6"/>
        <v>1963.1251681699259</v>
      </c>
      <c r="O31">
        <f t="shared" si="7"/>
        <v>1548.6894503793337</v>
      </c>
    </row>
    <row r="32" spans="1:15" x14ac:dyDescent="0.25">
      <c r="A32" s="3">
        <v>36738</v>
      </c>
      <c r="B32" s="1">
        <v>-3.4009999999999999E-2</v>
      </c>
      <c r="C32" s="1">
        <v>2.0773E-2</v>
      </c>
      <c r="D32" s="1">
        <v>-1.3578E-2</v>
      </c>
      <c r="E32" s="1">
        <f>'Fama-French Data'!D32</f>
        <v>4.7999999999999996E-3</v>
      </c>
      <c r="F32">
        <f t="shared" si="0"/>
        <v>-3.8809999999999997E-2</v>
      </c>
      <c r="G32">
        <f t="shared" si="1"/>
        <v>1.5973000000000001E-2</v>
      </c>
      <c r="H32">
        <f t="shared" si="2"/>
        <v>-1.8377999999999999E-2</v>
      </c>
      <c r="I32" s="1">
        <f>'Fama-French Data'!A32</f>
        <v>-2.4799999999999999E-2</v>
      </c>
      <c r="J32" s="1">
        <f>'Fama-French Data'!B32</f>
        <v>-2.8400000000000002E-2</v>
      </c>
      <c r="K32" s="1">
        <f>'Fama-French Data'!C32</f>
        <v>8.0600000000000005E-2</v>
      </c>
      <c r="L32">
        <f>'Fama-French Data'!F32</f>
        <v>-1.6000000000000001E-3</v>
      </c>
      <c r="M32">
        <f t="shared" si="5"/>
        <v>1512.0661004422136</v>
      </c>
      <c r="N32">
        <f t="shared" si="6"/>
        <v>2003.9051672883197</v>
      </c>
      <c r="O32">
        <f t="shared" si="7"/>
        <v>1527.6613450220832</v>
      </c>
    </row>
    <row r="33" spans="1:15" x14ac:dyDescent="0.25">
      <c r="A33" s="3">
        <v>36769</v>
      </c>
      <c r="B33" s="1">
        <v>7.1649000000000004E-2</v>
      </c>
      <c r="C33" s="1">
        <v>0.100622</v>
      </c>
      <c r="D33" s="1">
        <v>6.1253000000000002E-2</v>
      </c>
      <c r="E33" s="1">
        <f>'Fama-French Data'!D33</f>
        <v>5.0000000000000001E-3</v>
      </c>
      <c r="F33">
        <f t="shared" si="0"/>
        <v>6.6649E-2</v>
      </c>
      <c r="G33">
        <f t="shared" si="1"/>
        <v>9.5621999999999999E-2</v>
      </c>
      <c r="H33">
        <f t="shared" si="2"/>
        <v>5.6253000000000004E-2</v>
      </c>
      <c r="I33" s="1">
        <f>'Fama-French Data'!A33</f>
        <v>7.0300000000000001E-2</v>
      </c>
      <c r="J33" s="1">
        <f>'Fama-French Data'!B33</f>
        <v>-5.0000000000000001E-3</v>
      </c>
      <c r="K33" s="1">
        <f>'Fama-French Data'!C33</f>
        <v>-1.37E-2</v>
      </c>
      <c r="L33">
        <f>'Fama-French Data'!F33</f>
        <v>5.5899999999999998E-2</v>
      </c>
      <c r="M33">
        <f t="shared" si="5"/>
        <v>1620.4041244727978</v>
      </c>
      <c r="N33">
        <f t="shared" si="6"/>
        <v>2205.5421130312052</v>
      </c>
      <c r="O33">
        <f t="shared" si="7"/>
        <v>1621.2351853887208</v>
      </c>
    </row>
    <row r="34" spans="1:15" x14ac:dyDescent="0.25">
      <c r="A34" s="3">
        <v>36798</v>
      </c>
      <c r="B34" s="1">
        <v>-4.2651000000000001E-2</v>
      </c>
      <c r="C34" s="1">
        <v>-8.0379999999999993E-2</v>
      </c>
      <c r="D34" s="1">
        <v>-5.1756999999999997E-2</v>
      </c>
      <c r="E34" s="1">
        <f>'Fama-French Data'!D34</f>
        <v>5.1000000000000004E-3</v>
      </c>
      <c r="F34">
        <f t="shared" si="0"/>
        <v>-4.7751000000000002E-2</v>
      </c>
      <c r="G34">
        <f t="shared" si="1"/>
        <v>-8.548E-2</v>
      </c>
      <c r="H34">
        <f t="shared" si="2"/>
        <v>-5.6856999999999998E-2</v>
      </c>
      <c r="I34" s="1">
        <f>'Fama-French Data'!A34</f>
        <v>-5.4399999999999997E-2</v>
      </c>
      <c r="J34" s="1">
        <f>'Fama-French Data'!B34</f>
        <v>-1.7399999999999999E-2</v>
      </c>
      <c r="K34" s="1">
        <f>'Fama-French Data'!C34</f>
        <v>7.2400000000000006E-2</v>
      </c>
      <c r="L34">
        <f>'Fama-French Data'!F34</f>
        <v>1.89E-2</v>
      </c>
      <c r="M34">
        <f t="shared" si="5"/>
        <v>1551.2922681599084</v>
      </c>
      <c r="N34">
        <f t="shared" si="6"/>
        <v>2028.2606379857568</v>
      </c>
      <c r="O34">
        <f t="shared" si="7"/>
        <v>1537.3249158985566</v>
      </c>
    </row>
    <row r="35" spans="1:15" x14ac:dyDescent="0.25">
      <c r="A35" s="3">
        <v>36830</v>
      </c>
      <c r="B35" s="1">
        <v>-1.2643E-2</v>
      </c>
      <c r="C35" s="1">
        <v>-7.4839000000000003E-2</v>
      </c>
      <c r="D35" s="1">
        <v>-3.7720000000000002E-3</v>
      </c>
      <c r="E35" s="1">
        <f>'Fama-French Data'!D35</f>
        <v>5.5999999999999999E-3</v>
      </c>
      <c r="F35">
        <f t="shared" si="0"/>
        <v>-1.8242999999999999E-2</v>
      </c>
      <c r="G35">
        <f t="shared" si="1"/>
        <v>-8.0438999999999997E-2</v>
      </c>
      <c r="H35">
        <f t="shared" si="2"/>
        <v>-9.3720000000000001E-3</v>
      </c>
      <c r="I35" s="1">
        <f>'Fama-French Data'!A35</f>
        <v>-2.7799999999999998E-2</v>
      </c>
      <c r="J35" s="1">
        <f>'Fama-French Data'!B35</f>
        <v>-3.85E-2</v>
      </c>
      <c r="K35" s="1">
        <f>'Fama-French Data'!C35</f>
        <v>5.5800000000000002E-2</v>
      </c>
      <c r="L35">
        <f>'Fama-French Data'!F35</f>
        <v>-4.5600000000000002E-2</v>
      </c>
      <c r="M35">
        <f t="shared" si="5"/>
        <v>1531.6792800135627</v>
      </c>
      <c r="N35">
        <f t="shared" si="6"/>
        <v>1876.4676400995409</v>
      </c>
      <c r="O35">
        <f t="shared" si="7"/>
        <v>1531.5261263157872</v>
      </c>
    </row>
    <row r="36" spans="1:15" x14ac:dyDescent="0.25">
      <c r="A36" s="3">
        <v>36860</v>
      </c>
      <c r="B36" s="1">
        <v>-8.0257999999999996E-2</v>
      </c>
      <c r="C36" s="1">
        <v>-0.14427999999999999</v>
      </c>
      <c r="D36" s="1">
        <v>-7.8406000000000003E-2</v>
      </c>
      <c r="E36" s="1">
        <f>'Fama-French Data'!D36</f>
        <v>5.1000000000000004E-3</v>
      </c>
      <c r="F36">
        <f t="shared" si="0"/>
        <v>-8.5357999999999989E-2</v>
      </c>
      <c r="G36">
        <f t="shared" si="1"/>
        <v>-0.14937999999999999</v>
      </c>
      <c r="H36">
        <f t="shared" si="2"/>
        <v>-8.3505999999999997E-2</v>
      </c>
      <c r="I36" s="1">
        <f>'Fama-French Data'!A36</f>
        <v>-0.107</v>
      </c>
      <c r="J36" s="1">
        <f>'Fama-French Data'!B36</f>
        <v>-3.0800000000000001E-2</v>
      </c>
      <c r="K36" s="1">
        <f>'Fama-French Data'!C36</f>
        <v>0.12239999999999999</v>
      </c>
      <c r="L36">
        <f>'Fama-French Data'!F36</f>
        <v>-2.1700000000000001E-2</v>
      </c>
      <c r="M36">
        <f t="shared" si="5"/>
        <v>1408.7497643582342</v>
      </c>
      <c r="N36">
        <f t="shared" si="6"/>
        <v>1605.7308889859792</v>
      </c>
      <c r="O36">
        <f t="shared" si="7"/>
        <v>1411.4452888558717</v>
      </c>
    </row>
    <row r="37" spans="1:15" x14ac:dyDescent="0.25">
      <c r="A37" s="3">
        <v>36889</v>
      </c>
      <c r="B37" s="1">
        <v>4.4492999999999998E-2</v>
      </c>
      <c r="C37" s="1">
        <v>2.9818999999999998E-2</v>
      </c>
      <c r="D37" s="1">
        <v>5.5799999999999999E-3</v>
      </c>
      <c r="E37" s="1">
        <f>'Fama-French Data'!D37</f>
        <v>5.0000000000000001E-3</v>
      </c>
      <c r="F37">
        <f t="shared" si="0"/>
        <v>3.9493E-2</v>
      </c>
      <c r="G37">
        <f t="shared" si="1"/>
        <v>2.4818999999999997E-2</v>
      </c>
      <c r="H37">
        <f t="shared" si="2"/>
        <v>5.7999999999999979E-4</v>
      </c>
      <c r="I37" s="1">
        <f>'Fama-French Data'!A37</f>
        <v>1.18E-2</v>
      </c>
      <c r="J37" s="1">
        <f>'Fama-French Data'!B37</f>
        <v>8.2000000000000007E-3</v>
      </c>
      <c r="K37" s="1">
        <f>'Fama-French Data'!C37</f>
        <v>7.5499999999999998E-2</v>
      </c>
      <c r="L37">
        <f>'Fama-French Data'!F37</f>
        <v>6.59E-2</v>
      </c>
      <c r="M37">
        <f t="shared" si="5"/>
        <v>1471.4292676238249</v>
      </c>
      <c r="N37">
        <f t="shared" si="6"/>
        <v>1653.6121783646522</v>
      </c>
      <c r="O37">
        <f t="shared" si="7"/>
        <v>1419.3211535676874</v>
      </c>
    </row>
    <row r="38" spans="1:15" x14ac:dyDescent="0.25">
      <c r="A38" s="3">
        <v>36922</v>
      </c>
      <c r="B38" s="1">
        <v>-9.7769999999999992E-3</v>
      </c>
      <c r="C38" s="1">
        <v>-1.5195999999999999E-2</v>
      </c>
      <c r="D38" s="1">
        <v>3.4444000000000002E-2</v>
      </c>
      <c r="E38" s="1">
        <f>'Fama-French Data'!D38</f>
        <v>5.4000000000000003E-3</v>
      </c>
      <c r="F38">
        <f t="shared" si="0"/>
        <v>-1.5177E-2</v>
      </c>
      <c r="G38">
        <f t="shared" si="1"/>
        <v>-2.0596E-2</v>
      </c>
      <c r="H38">
        <f t="shared" si="2"/>
        <v>2.9044E-2</v>
      </c>
      <c r="I38" s="1">
        <f>'Fama-French Data'!A38</f>
        <v>3.2500000000000001E-2</v>
      </c>
      <c r="J38" s="1">
        <f>'Fama-French Data'!B38</f>
        <v>6.4100000000000004E-2</v>
      </c>
      <c r="K38" s="1">
        <f>'Fama-French Data'!C38</f>
        <v>-5.0500000000000003E-2</v>
      </c>
      <c r="L38">
        <f>'Fama-French Data'!F38</f>
        <v>-0.2535</v>
      </c>
      <c r="M38">
        <f t="shared" si="5"/>
        <v>1457.0431036742666</v>
      </c>
      <c r="N38">
        <f t="shared" si="6"/>
        <v>1628.483887702223</v>
      </c>
      <c r="O38">
        <f t="shared" si="7"/>
        <v>1468.2082513811727</v>
      </c>
    </row>
    <row r="39" spans="1:15" x14ac:dyDescent="0.25">
      <c r="A39" s="3">
        <v>36950</v>
      </c>
      <c r="B39" s="1">
        <v>-5.8533000000000002E-2</v>
      </c>
      <c r="C39" s="1">
        <v>-0.13097500000000001</v>
      </c>
      <c r="D39" s="1">
        <v>-8.8180999999999995E-2</v>
      </c>
      <c r="E39" s="1">
        <f>'Fama-French Data'!D39</f>
        <v>3.8E-3</v>
      </c>
      <c r="F39">
        <f t="shared" si="0"/>
        <v>-6.2333E-2</v>
      </c>
      <c r="G39">
        <f t="shared" si="1"/>
        <v>-0.13477500000000001</v>
      </c>
      <c r="H39">
        <f t="shared" si="2"/>
        <v>-9.1980999999999993E-2</v>
      </c>
      <c r="I39" s="1">
        <f>'Fama-French Data'!A39</f>
        <v>-0.1003</v>
      </c>
      <c r="J39" s="1">
        <f>'Fama-French Data'!B39</f>
        <v>-6.4999999999999997E-3</v>
      </c>
      <c r="K39" s="1">
        <f>'Fama-French Data'!C39</f>
        <v>0.12230000000000001</v>
      </c>
      <c r="L39">
        <f>'Fama-French Data'!F39</f>
        <v>0.126</v>
      </c>
      <c r="M39">
        <f t="shared" si="5"/>
        <v>1371.7579996869008</v>
      </c>
      <c r="N39">
        <f t="shared" si="6"/>
        <v>1415.1932105104243</v>
      </c>
      <c r="O39">
        <f t="shared" si="7"/>
        <v>1338.7401795661294</v>
      </c>
    </row>
    <row r="40" spans="1:15" x14ac:dyDescent="0.25">
      <c r="A40" s="3">
        <v>36980</v>
      </c>
      <c r="B40" s="1">
        <v>-4.1947999999999999E-2</v>
      </c>
      <c r="C40" s="1">
        <v>-0.10827199999999999</v>
      </c>
      <c r="D40" s="1">
        <v>-6.1966E-2</v>
      </c>
      <c r="E40" s="1">
        <f>'Fama-French Data'!D40</f>
        <v>4.1999999999999997E-3</v>
      </c>
      <c r="F40">
        <f t="shared" si="0"/>
        <v>-4.6148000000000002E-2</v>
      </c>
      <c r="G40">
        <f t="shared" si="1"/>
        <v>-0.11247199999999999</v>
      </c>
      <c r="H40">
        <f t="shared" si="2"/>
        <v>-6.6166000000000003E-2</v>
      </c>
      <c r="I40" s="1">
        <f>'Fama-French Data'!A40</f>
        <v>-7.2499999999999995E-2</v>
      </c>
      <c r="J40" s="1">
        <f>'Fama-French Data'!B40</f>
        <v>2.5999999999999999E-3</v>
      </c>
      <c r="K40" s="1">
        <f>'Fama-French Data'!C40</f>
        <v>6.4699999999999994E-2</v>
      </c>
      <c r="L40">
        <f>'Fama-French Data'!F40</f>
        <v>8.6499999999999994E-2</v>
      </c>
      <c r="M40">
        <f t="shared" si="5"/>
        <v>1314.2154951160346</v>
      </c>
      <c r="N40">
        <f t="shared" si="6"/>
        <v>1261.9674112220396</v>
      </c>
      <c r="O40">
        <f t="shared" si="7"/>
        <v>1255.7838055991347</v>
      </c>
    </row>
    <row r="41" spans="1:15" x14ac:dyDescent="0.25">
      <c r="A41" s="3">
        <v>37011</v>
      </c>
      <c r="B41" s="1">
        <v>7.6760999999999996E-2</v>
      </c>
      <c r="C41" s="1">
        <v>0.101991</v>
      </c>
      <c r="D41" s="1">
        <v>7.5997999999999996E-2</v>
      </c>
      <c r="E41" s="1">
        <f>'Fama-French Data'!D41</f>
        <v>3.8999999999999998E-3</v>
      </c>
      <c r="F41">
        <f t="shared" si="0"/>
        <v>7.2860999999999995E-2</v>
      </c>
      <c r="G41">
        <f t="shared" si="1"/>
        <v>9.8090999999999998E-2</v>
      </c>
      <c r="H41">
        <f t="shared" si="2"/>
        <v>7.2097999999999995E-2</v>
      </c>
      <c r="I41" s="1">
        <f>'Fama-French Data'!A41</f>
        <v>7.9299999999999995E-2</v>
      </c>
      <c r="J41" s="1">
        <f>'Fama-French Data'!B41</f>
        <v>5.0000000000000001E-3</v>
      </c>
      <c r="K41" s="1">
        <f>'Fama-French Data'!C41</f>
        <v>-4.6399999999999997E-2</v>
      </c>
      <c r="L41">
        <f>'Fama-French Data'!F41</f>
        <v>-8.0100000000000005E-2</v>
      </c>
      <c r="M41">
        <f t="shared" si="5"/>
        <v>1415.0959907366366</v>
      </c>
      <c r="N41">
        <f t="shared" si="6"/>
        <v>1390.6767294599865</v>
      </c>
      <c r="O41">
        <f t="shared" si="7"/>
        <v>1351.2208632570578</v>
      </c>
    </row>
    <row r="42" spans="1:15" x14ac:dyDescent="0.25">
      <c r="A42" s="3">
        <v>37042</v>
      </c>
      <c r="B42" s="1">
        <v>9.4549999999999999E-3</v>
      </c>
      <c r="C42" s="1">
        <v>-2.0272999999999999E-2</v>
      </c>
      <c r="D42" s="1">
        <v>7.1830000000000001E-3</v>
      </c>
      <c r="E42" s="1">
        <f>'Fama-French Data'!D42</f>
        <v>3.2000000000000002E-3</v>
      </c>
      <c r="F42">
        <f t="shared" si="0"/>
        <v>6.2550000000000001E-3</v>
      </c>
      <c r="G42">
        <f t="shared" si="1"/>
        <v>-2.3473000000000001E-2</v>
      </c>
      <c r="H42">
        <f t="shared" si="2"/>
        <v>3.9830000000000004E-3</v>
      </c>
      <c r="I42" s="1">
        <f>'Fama-French Data'!A42</f>
        <v>6.7999999999999996E-3</v>
      </c>
      <c r="J42" s="1">
        <f>'Fama-French Data'!B42</f>
        <v>2.4799999999999999E-2</v>
      </c>
      <c r="K42" s="1">
        <f>'Fama-French Data'!C42</f>
        <v>3.3799999999999997E-2</v>
      </c>
      <c r="L42">
        <f>'Fama-French Data'!F42</f>
        <v>2.1499999999999998E-2</v>
      </c>
      <c r="M42">
        <f t="shared" si="5"/>
        <v>1428.4757233290516</v>
      </c>
      <c r="N42">
        <f t="shared" si="6"/>
        <v>1362.4835401236442</v>
      </c>
      <c r="O42">
        <f t="shared" si="7"/>
        <v>1360.926682717833</v>
      </c>
    </row>
    <row r="43" spans="1:15" x14ac:dyDescent="0.25">
      <c r="A43" s="3">
        <v>37071</v>
      </c>
      <c r="B43" s="1">
        <v>-4.6829999999999997E-2</v>
      </c>
      <c r="C43" s="1">
        <v>-3.3287999999999998E-2</v>
      </c>
      <c r="D43" s="1">
        <v>-2.4267E-2</v>
      </c>
      <c r="E43" s="1">
        <f>'Fama-French Data'!D43</f>
        <v>2.8E-3</v>
      </c>
      <c r="F43">
        <f t="shared" si="0"/>
        <v>-4.9629999999999994E-2</v>
      </c>
      <c r="G43">
        <f t="shared" si="1"/>
        <v>-3.6087999999999995E-2</v>
      </c>
      <c r="H43">
        <f t="shared" si="2"/>
        <v>-2.7067000000000001E-2</v>
      </c>
      <c r="I43" s="1">
        <f>'Fama-French Data'!A43</f>
        <v>-1.9400000000000001E-2</v>
      </c>
      <c r="J43" s="1">
        <f>'Fama-French Data'!B43</f>
        <v>6.3500000000000001E-2</v>
      </c>
      <c r="K43" s="1">
        <f>'Fama-French Data'!C43</f>
        <v>-1.26E-2</v>
      </c>
      <c r="L43">
        <f>'Fama-French Data'!F43</f>
        <v>6.1999999999999998E-3</v>
      </c>
      <c r="M43">
        <f t="shared" si="5"/>
        <v>1361.5802052055519</v>
      </c>
      <c r="N43">
        <f t="shared" si="6"/>
        <v>1317.1291880400083</v>
      </c>
      <c r="O43">
        <f t="shared" si="7"/>
        <v>1327.9010749083193</v>
      </c>
    </row>
    <row r="44" spans="1:15" x14ac:dyDescent="0.25">
      <c r="A44" s="3">
        <v>37103</v>
      </c>
      <c r="B44" s="1">
        <v>-4.3117000000000003E-2</v>
      </c>
      <c r="C44" s="1">
        <v>-2.7455E-2</v>
      </c>
      <c r="D44" s="1">
        <v>-9.7800000000000005E-3</v>
      </c>
      <c r="E44" s="1">
        <f>'Fama-French Data'!D44</f>
        <v>3.0000000000000001E-3</v>
      </c>
      <c r="F44">
        <f t="shared" si="0"/>
        <v>-4.6117000000000005E-2</v>
      </c>
      <c r="G44">
        <f t="shared" si="1"/>
        <v>-3.0454999999999999E-2</v>
      </c>
      <c r="H44">
        <f t="shared" si="2"/>
        <v>-1.278E-2</v>
      </c>
      <c r="I44" s="1">
        <f>'Fama-French Data'!A44</f>
        <v>-2.1299999999999999E-2</v>
      </c>
      <c r="J44" s="1">
        <f>'Fama-French Data'!B44</f>
        <v>-4.0500000000000001E-2</v>
      </c>
      <c r="K44" s="1">
        <f>'Fama-French Data'!C44</f>
        <v>4.9500000000000002E-2</v>
      </c>
      <c r="L44">
        <f>'Fama-French Data'!F44</f>
        <v>5.4800000000000001E-2</v>
      </c>
      <c r="M44">
        <f t="shared" si="5"/>
        <v>1302.8729514977042</v>
      </c>
      <c r="N44">
        <f t="shared" si="6"/>
        <v>1280.9674061823698</v>
      </c>
      <c r="O44">
        <f t="shared" si="7"/>
        <v>1314.9142023957158</v>
      </c>
    </row>
    <row r="45" spans="1:15" x14ac:dyDescent="0.25">
      <c r="A45" s="3">
        <v>37134</v>
      </c>
      <c r="B45" s="1">
        <v>-5.2963999999999997E-2</v>
      </c>
      <c r="C45" s="1">
        <v>-8.0382999999999996E-2</v>
      </c>
      <c r="D45" s="1">
        <v>-6.2140000000000001E-2</v>
      </c>
      <c r="E45" s="1">
        <f>'Fama-French Data'!D45</f>
        <v>3.0999999999999999E-3</v>
      </c>
      <c r="F45">
        <f t="shared" si="0"/>
        <v>-5.6063999999999996E-2</v>
      </c>
      <c r="G45">
        <f t="shared" si="1"/>
        <v>-8.3483000000000002E-2</v>
      </c>
      <c r="H45">
        <f t="shared" si="2"/>
        <v>-6.5240000000000006E-2</v>
      </c>
      <c r="I45" s="1">
        <f>'Fama-French Data'!A45</f>
        <v>-6.4000000000000001E-2</v>
      </c>
      <c r="J45" s="1">
        <f>'Fama-French Data'!B45</f>
        <v>2.1899999999999999E-2</v>
      </c>
      <c r="K45" s="1">
        <f>'Fama-French Data'!C45</f>
        <v>2.86E-2</v>
      </c>
      <c r="L45">
        <f>'Fama-French Data'!F45</f>
        <v>5.4600000000000003E-2</v>
      </c>
      <c r="M45">
        <f t="shared" si="5"/>
        <v>1233.8675884945799</v>
      </c>
      <c r="N45">
        <f t="shared" si="6"/>
        <v>1177.9994031712124</v>
      </c>
      <c r="O45">
        <f t="shared" si="7"/>
        <v>1233.2054338588462</v>
      </c>
    </row>
    <row r="46" spans="1:15" x14ac:dyDescent="0.25">
      <c r="A46" s="3">
        <v>37162</v>
      </c>
      <c r="B46" s="1">
        <v>-6.8446999999999994E-2</v>
      </c>
      <c r="C46" s="1">
        <v>-9.5213000000000006E-2</v>
      </c>
      <c r="D46" s="1">
        <v>-7.986E-2</v>
      </c>
      <c r="E46" s="1">
        <f>'Fama-French Data'!D46</f>
        <v>2.8E-3</v>
      </c>
      <c r="F46">
        <f t="shared" si="0"/>
        <v>-7.1246999999999991E-2</v>
      </c>
      <c r="G46">
        <f t="shared" si="1"/>
        <v>-9.8013000000000003E-2</v>
      </c>
      <c r="H46">
        <f t="shared" si="2"/>
        <v>-8.2659999999999997E-2</v>
      </c>
      <c r="I46" s="1">
        <f>'Fama-French Data'!A46</f>
        <v>-9.2399999999999996E-2</v>
      </c>
      <c r="J46" s="1">
        <f>'Fama-French Data'!B46</f>
        <v>-6.2300000000000001E-2</v>
      </c>
      <c r="K46" s="1">
        <f>'Fama-French Data'!C46</f>
        <v>1.52E-2</v>
      </c>
      <c r="L46">
        <f>'Fama-French Data'!F46</f>
        <v>0.1138</v>
      </c>
      <c r="M46">
        <f t="shared" si="5"/>
        <v>1149.4130536648913</v>
      </c>
      <c r="N46">
        <f t="shared" si="6"/>
        <v>1065.8385459970718</v>
      </c>
      <c r="O46">
        <f t="shared" si="7"/>
        <v>1134.7216479108786</v>
      </c>
    </row>
    <row r="47" spans="1:15" x14ac:dyDescent="0.25">
      <c r="A47" s="3">
        <v>37195</v>
      </c>
      <c r="B47" s="1">
        <v>8.9689999999999995E-3</v>
      </c>
      <c r="C47" s="1">
        <v>1.8976E-2</v>
      </c>
      <c r="D47" s="1">
        <v>1.772E-2</v>
      </c>
      <c r="E47" s="1">
        <f>'Fama-French Data'!D47</f>
        <v>2.2000000000000001E-3</v>
      </c>
      <c r="F47">
        <f t="shared" si="0"/>
        <v>6.768999999999999E-3</v>
      </c>
      <c r="G47">
        <f t="shared" si="1"/>
        <v>1.6775999999999999E-2</v>
      </c>
      <c r="H47">
        <f t="shared" si="2"/>
        <v>1.5519999999999999E-2</v>
      </c>
      <c r="I47" s="1">
        <f>'Fama-French Data'!A47</f>
        <v>2.4799999999999999E-2</v>
      </c>
      <c r="J47" s="1">
        <f>'Fama-French Data'!B47</f>
        <v>7.4899999999999994E-2</v>
      </c>
      <c r="K47" s="1">
        <f>'Fama-French Data'!C47</f>
        <v>-7.3099999999999998E-2</v>
      </c>
      <c r="L47">
        <f>'Fama-French Data'!F47</f>
        <v>-8.3199999999999996E-2</v>
      </c>
      <c r="M47">
        <f t="shared" si="5"/>
        <v>1159.7221393432117</v>
      </c>
      <c r="N47">
        <f t="shared" si="6"/>
        <v>1086.0638982459125</v>
      </c>
      <c r="O47">
        <f t="shared" si="7"/>
        <v>1154.8289155118593</v>
      </c>
    </row>
    <row r="48" spans="1:15" x14ac:dyDescent="0.25">
      <c r="A48" s="3">
        <v>37225</v>
      </c>
      <c r="B48" s="1">
        <v>5.6889000000000002E-2</v>
      </c>
      <c r="C48" s="1">
        <v>7.9571000000000003E-2</v>
      </c>
      <c r="D48" s="1">
        <v>7.5294E-2</v>
      </c>
      <c r="E48" s="1">
        <f>'Fama-French Data'!D48</f>
        <v>1.6999999999999999E-3</v>
      </c>
      <c r="F48">
        <f t="shared" si="0"/>
        <v>5.5189000000000002E-2</v>
      </c>
      <c r="G48">
        <f t="shared" si="1"/>
        <v>7.787100000000001E-2</v>
      </c>
      <c r="H48">
        <f t="shared" si="2"/>
        <v>7.3594000000000007E-2</v>
      </c>
      <c r="I48" s="1">
        <f>'Fama-French Data'!A48</f>
        <v>7.5300000000000006E-2</v>
      </c>
      <c r="J48" s="1">
        <f>'Fama-French Data'!B48</f>
        <v>-5.7000000000000002E-3</v>
      </c>
      <c r="K48" s="1">
        <f>'Fama-French Data'!C48</f>
        <v>2.1700000000000001E-2</v>
      </c>
      <c r="L48">
        <f>'Fama-French Data'!F48</f>
        <v>-8.6099999999999996E-2</v>
      </c>
      <c r="M48">
        <f t="shared" si="5"/>
        <v>1225.6975721283077</v>
      </c>
      <c r="N48">
        <f t="shared" si="6"/>
        <v>1172.483088693238</v>
      </c>
      <c r="O48">
        <f t="shared" si="7"/>
        <v>1241.7806038764093</v>
      </c>
    </row>
    <row r="49" spans="1:15" x14ac:dyDescent="0.25">
      <c r="A49" s="3">
        <v>37256</v>
      </c>
      <c r="B49" s="1">
        <v>1.4298E-2</v>
      </c>
      <c r="C49" s="1">
        <v>-6.9030000000000003E-3</v>
      </c>
      <c r="D49" s="1">
        <v>7.9740000000000002E-3</v>
      </c>
      <c r="E49" s="1">
        <f>'Fama-French Data'!D49</f>
        <v>1.5E-3</v>
      </c>
      <c r="F49">
        <f t="shared" si="0"/>
        <v>1.2798E-2</v>
      </c>
      <c r="G49">
        <f t="shared" si="1"/>
        <v>-8.4030000000000007E-3</v>
      </c>
      <c r="H49">
        <f t="shared" si="2"/>
        <v>6.4740000000000006E-3</v>
      </c>
      <c r="I49" s="1">
        <f>'Fama-French Data'!A49</f>
        <v>1.61E-2</v>
      </c>
      <c r="J49" s="1">
        <f>'Fama-French Data'!B49</f>
        <v>4.7199999999999999E-2</v>
      </c>
      <c r="K49" s="1">
        <f>'Fama-French Data'!C49</f>
        <v>8.3000000000000001E-3</v>
      </c>
      <c r="L49">
        <f>'Fama-French Data'!F49</f>
        <v>2.0000000000000001E-4</v>
      </c>
      <c r="M49">
        <f t="shared" si="5"/>
        <v>1243.2225960145981</v>
      </c>
      <c r="N49">
        <f t="shared" si="6"/>
        <v>1164.3894379319886</v>
      </c>
      <c r="O49">
        <f t="shared" si="7"/>
        <v>1251.6825624117196</v>
      </c>
    </row>
    <row r="50" spans="1:15" x14ac:dyDescent="0.25">
      <c r="A50" s="3">
        <v>37287</v>
      </c>
      <c r="B50" s="1">
        <v>-2.8239E-2</v>
      </c>
      <c r="C50" s="1">
        <v>-1.8577E-2</v>
      </c>
      <c r="D50" s="1">
        <v>-1.4373E-2</v>
      </c>
      <c r="E50" s="1">
        <f>'Fama-French Data'!D50</f>
        <v>1.4E-3</v>
      </c>
      <c r="F50">
        <f t="shared" si="0"/>
        <v>-2.9638999999999999E-2</v>
      </c>
      <c r="G50">
        <f t="shared" si="1"/>
        <v>-1.9976999999999998E-2</v>
      </c>
      <c r="H50">
        <f t="shared" si="2"/>
        <v>-1.5772999999999999E-2</v>
      </c>
      <c r="I50" s="1">
        <f>'Fama-French Data'!A50</f>
        <v>-1.44E-2</v>
      </c>
      <c r="J50" s="1">
        <f>'Fama-French Data'!B50</f>
        <v>1.17E-2</v>
      </c>
      <c r="K50" s="1">
        <f>'Fama-French Data'!C50</f>
        <v>3.4200000000000001E-2</v>
      </c>
      <c r="L50">
        <f>'Fama-French Data'!F50</f>
        <v>3.6499999999999998E-2</v>
      </c>
      <c r="M50">
        <f t="shared" si="5"/>
        <v>1208.115233125742</v>
      </c>
      <c r="N50">
        <f t="shared" si="6"/>
        <v>1142.758575343526</v>
      </c>
      <c r="O50">
        <f t="shared" si="7"/>
        <v>1233.6921289421759</v>
      </c>
    </row>
    <row r="51" spans="1:15" x14ac:dyDescent="0.25">
      <c r="A51" s="3">
        <v>37315</v>
      </c>
      <c r="B51" s="1">
        <v>-1.1110999999999999E-2</v>
      </c>
      <c r="C51" s="1">
        <v>-3.0287000000000001E-2</v>
      </c>
      <c r="D51" s="1">
        <v>-1.8117999999999999E-2</v>
      </c>
      <c r="E51" s="1">
        <f>'Fama-French Data'!D51</f>
        <v>1.2999999999999999E-3</v>
      </c>
      <c r="F51">
        <f t="shared" si="0"/>
        <v>-1.2410999999999998E-2</v>
      </c>
      <c r="G51">
        <f t="shared" si="1"/>
        <v>-3.1587000000000004E-2</v>
      </c>
      <c r="H51">
        <f t="shared" si="2"/>
        <v>-1.9417999999999998E-2</v>
      </c>
      <c r="I51" s="1">
        <f>'Fama-French Data'!A51</f>
        <v>-2.3E-2</v>
      </c>
      <c r="J51" s="1">
        <f>'Fama-French Data'!B51</f>
        <v>-1.0800000000000001E-2</v>
      </c>
      <c r="K51" s="1">
        <f>'Fama-French Data'!C51</f>
        <v>2.3400000000000001E-2</v>
      </c>
      <c r="L51">
        <f>'Fama-French Data'!F51</f>
        <v>6.83E-2</v>
      </c>
      <c r="M51">
        <f t="shared" si="5"/>
        <v>1194.6918647704817</v>
      </c>
      <c r="N51">
        <f t="shared" si="6"/>
        <v>1108.1478463720966</v>
      </c>
      <c r="O51">
        <f t="shared" si="7"/>
        <v>1211.3400949500017</v>
      </c>
    </row>
    <row r="52" spans="1:15" x14ac:dyDescent="0.25">
      <c r="A52" s="3">
        <v>37343</v>
      </c>
      <c r="B52" s="1">
        <v>3.6991999999999997E-2</v>
      </c>
      <c r="C52" s="1">
        <v>4.3503E-2</v>
      </c>
      <c r="D52" s="1">
        <v>3.6237999999999999E-2</v>
      </c>
      <c r="E52" s="1">
        <f>'Fama-French Data'!D52</f>
        <v>1.2999999999999999E-3</v>
      </c>
      <c r="F52">
        <f t="shared" si="0"/>
        <v>3.5691999999999995E-2</v>
      </c>
      <c r="G52">
        <f t="shared" si="1"/>
        <v>4.2202999999999997E-2</v>
      </c>
      <c r="H52">
        <f t="shared" si="2"/>
        <v>3.4937999999999997E-2</v>
      </c>
      <c r="I52" s="1">
        <f>'Fama-French Data'!A52</f>
        <v>4.24E-2</v>
      </c>
      <c r="J52" s="1">
        <f>'Fama-French Data'!B52</f>
        <v>4.0899999999999999E-2</v>
      </c>
      <c r="K52" s="1">
        <f>'Fama-French Data'!C52</f>
        <v>1.0800000000000001E-2</v>
      </c>
      <c r="L52">
        <f>'Fama-French Data'!F52</f>
        <v>-1.6899999999999998E-2</v>
      </c>
      <c r="M52">
        <f t="shared" si="5"/>
        <v>1238.8859062320712</v>
      </c>
      <c r="N52">
        <f t="shared" si="6"/>
        <v>1156.355602132822</v>
      </c>
      <c r="O52">
        <f t="shared" si="7"/>
        <v>1255.2366373107998</v>
      </c>
    </row>
    <row r="53" spans="1:15" x14ac:dyDescent="0.25">
      <c r="A53" s="3">
        <v>37376</v>
      </c>
      <c r="B53" s="1">
        <v>-3.3361000000000002E-2</v>
      </c>
      <c r="C53" s="1">
        <v>-5.8791999999999997E-2</v>
      </c>
      <c r="D53" s="1">
        <v>-6.0104999999999999E-2</v>
      </c>
      <c r="E53" s="1">
        <f>'Fama-French Data'!D53</f>
        <v>1.5E-3</v>
      </c>
      <c r="F53">
        <f t="shared" si="0"/>
        <v>-3.4861000000000003E-2</v>
      </c>
      <c r="G53">
        <f t="shared" si="1"/>
        <v>-6.0291999999999998E-2</v>
      </c>
      <c r="H53">
        <f t="shared" si="2"/>
        <v>-6.1605E-2</v>
      </c>
      <c r="I53" s="1">
        <f>'Fama-French Data'!A53</f>
        <v>-5.21E-2</v>
      </c>
      <c r="J53" s="1">
        <f>'Fama-French Data'!B53</f>
        <v>5.8200000000000002E-2</v>
      </c>
      <c r="K53" s="1">
        <f>'Fama-French Data'!C53</f>
        <v>4.0099999999999997E-2</v>
      </c>
      <c r="L53">
        <f>'Fama-French Data'!F53</f>
        <v>7.6999999999999999E-2</v>
      </c>
      <c r="M53">
        <f t="shared" si="5"/>
        <v>1197.5554335142631</v>
      </c>
      <c r="N53">
        <f t="shared" si="6"/>
        <v>1088.3711435722291</v>
      </c>
      <c r="O53">
        <f t="shared" si="7"/>
        <v>1179.7906392252341</v>
      </c>
    </row>
    <row r="54" spans="1:15" x14ac:dyDescent="0.25">
      <c r="A54" s="3">
        <v>37407</v>
      </c>
      <c r="B54" s="1">
        <v>-1.7256000000000001E-2</v>
      </c>
      <c r="C54" s="1">
        <v>-2.0442999999999999E-2</v>
      </c>
      <c r="D54" s="1">
        <v>-7.4139999999999996E-3</v>
      </c>
      <c r="E54" s="1">
        <f>'Fama-French Data'!D54</f>
        <v>1.4E-3</v>
      </c>
      <c r="F54">
        <f t="shared" si="0"/>
        <v>-1.8655999999999999E-2</v>
      </c>
      <c r="G54">
        <f t="shared" si="1"/>
        <v>-2.1842999999999998E-2</v>
      </c>
      <c r="H54">
        <f t="shared" si="2"/>
        <v>-8.8139999999999989E-3</v>
      </c>
      <c r="I54" s="1">
        <f>'Fama-French Data'!A54</f>
        <v>-1.3599999999999999E-2</v>
      </c>
      <c r="J54" s="1">
        <f>'Fama-French Data'!B54</f>
        <v>-3.27E-2</v>
      </c>
      <c r="K54" s="1">
        <f>'Fama-French Data'!C54</f>
        <v>1.52E-2</v>
      </c>
      <c r="L54">
        <f>'Fama-French Data'!F54</f>
        <v>3.09E-2</v>
      </c>
      <c r="M54">
        <f t="shared" si="5"/>
        <v>1176.8904169535408</v>
      </c>
      <c r="N54">
        <f t="shared" si="6"/>
        <v>1066.1215722841821</v>
      </c>
      <c r="O54">
        <f t="shared" si="7"/>
        <v>1171.0436714260181</v>
      </c>
    </row>
    <row r="55" spans="1:15" x14ac:dyDescent="0.25">
      <c r="A55" s="3">
        <v>37435</v>
      </c>
      <c r="B55" s="1">
        <v>-7.1114999999999998E-2</v>
      </c>
      <c r="C55" s="1">
        <v>-8.9274999999999993E-2</v>
      </c>
      <c r="D55" s="1">
        <v>-7.0971000000000006E-2</v>
      </c>
      <c r="E55" s="1">
        <f>'Fama-French Data'!D55</f>
        <v>1.2999999999999999E-3</v>
      </c>
      <c r="F55">
        <f t="shared" si="0"/>
        <v>-7.2414999999999993E-2</v>
      </c>
      <c r="G55">
        <f t="shared" si="1"/>
        <v>-9.0574999999999989E-2</v>
      </c>
      <c r="H55">
        <f t="shared" si="2"/>
        <v>-7.2271000000000002E-2</v>
      </c>
      <c r="I55" s="1">
        <f>'Fama-French Data'!A55</f>
        <v>-7.2300000000000003E-2</v>
      </c>
      <c r="J55" s="1">
        <f>'Fama-French Data'!B55</f>
        <v>4.0800000000000003E-2</v>
      </c>
      <c r="K55" s="1">
        <f>'Fama-French Data'!C55</f>
        <v>3.7000000000000002E-3</v>
      </c>
      <c r="L55">
        <f>'Fama-French Data'!F55</f>
        <v>6.2399999999999997E-2</v>
      </c>
      <c r="M55">
        <f t="shared" si="5"/>
        <v>1093.1958549518897</v>
      </c>
      <c r="N55">
        <f t="shared" si="6"/>
        <v>970.9435689185118</v>
      </c>
      <c r="O55">
        <f t="shared" si="7"/>
        <v>1087.9335310212423</v>
      </c>
    </row>
    <row r="56" spans="1:15" x14ac:dyDescent="0.25">
      <c r="A56" s="3">
        <v>37468</v>
      </c>
      <c r="B56" s="1">
        <v>-8.1284999999999996E-2</v>
      </c>
      <c r="C56" s="1">
        <v>-8.1476999999999994E-2</v>
      </c>
      <c r="D56" s="1">
        <v>-7.4093000000000006E-2</v>
      </c>
      <c r="E56" s="1">
        <f>'Fama-French Data'!D56</f>
        <v>1.5E-3</v>
      </c>
      <c r="F56">
        <f t="shared" si="0"/>
        <v>-8.2784999999999997E-2</v>
      </c>
      <c r="G56">
        <f t="shared" si="1"/>
        <v>-8.2976999999999995E-2</v>
      </c>
      <c r="H56">
        <f t="shared" si="2"/>
        <v>-7.5593000000000007E-2</v>
      </c>
      <c r="I56" s="1">
        <f>'Fama-French Data'!A56</f>
        <v>-8.1900000000000001E-2</v>
      </c>
      <c r="J56" s="1">
        <f>'Fama-French Data'!B56</f>
        <v>-5.2499999999999998E-2</v>
      </c>
      <c r="K56" s="1">
        <f>'Fama-French Data'!C56</f>
        <v>-3.5099999999999999E-2</v>
      </c>
      <c r="L56">
        <f>'Fama-French Data'!F56</f>
        <v>3.6299999999999999E-2</v>
      </c>
      <c r="M56">
        <f t="shared" si="5"/>
        <v>1004.3354298821253</v>
      </c>
      <c r="N56">
        <f t="shared" si="6"/>
        <v>891.83399975373823</v>
      </c>
      <c r="O56">
        <f t="shared" si="7"/>
        <v>1007.3252719072855</v>
      </c>
    </row>
    <row r="57" spans="1:15" x14ac:dyDescent="0.25">
      <c r="A57" s="3">
        <v>37498</v>
      </c>
      <c r="B57" s="1">
        <v>8.2299999999999995E-3</v>
      </c>
      <c r="C57" s="1">
        <v>1.1088000000000001E-2</v>
      </c>
      <c r="D57" s="1">
        <v>5.9880000000000003E-3</v>
      </c>
      <c r="E57" s="1">
        <f>'Fama-French Data'!D57</f>
        <v>1.4E-3</v>
      </c>
      <c r="F57">
        <f t="shared" si="0"/>
        <v>6.8299999999999993E-3</v>
      </c>
      <c r="G57">
        <f t="shared" si="1"/>
        <v>9.6880000000000004E-3</v>
      </c>
      <c r="H57">
        <f t="shared" si="2"/>
        <v>4.5880000000000001E-3</v>
      </c>
      <c r="I57" s="1">
        <f>'Fama-French Data'!A57</f>
        <v>5.0000000000000001E-3</v>
      </c>
      <c r="J57" s="1">
        <f>'Fama-French Data'!B57</f>
        <v>-2.8000000000000001E-2</v>
      </c>
      <c r="K57" s="1">
        <f>'Fama-French Data'!C57</f>
        <v>3.0099999999999998E-2</v>
      </c>
      <c r="L57">
        <f>'Fama-French Data'!F57</f>
        <v>1.8700000000000001E-2</v>
      </c>
      <c r="M57">
        <f t="shared" si="5"/>
        <v>1012.6011104700551</v>
      </c>
      <c r="N57">
        <f t="shared" si="6"/>
        <v>901.72265514300761</v>
      </c>
      <c r="O57">
        <f t="shared" si="7"/>
        <v>1013.3571356354664</v>
      </c>
    </row>
    <row r="58" spans="1:15" x14ac:dyDescent="0.25">
      <c r="A58" s="3">
        <v>37529</v>
      </c>
      <c r="B58" s="1">
        <v>-9.7959000000000004E-2</v>
      </c>
      <c r="C58" s="1">
        <v>-0.10281</v>
      </c>
      <c r="D58" s="1">
        <v>-0.10983800000000001</v>
      </c>
      <c r="E58" s="1">
        <f>'Fama-French Data'!D58</f>
        <v>1.4E-3</v>
      </c>
      <c r="F58">
        <f t="shared" si="0"/>
        <v>-9.9359000000000003E-2</v>
      </c>
      <c r="G58">
        <f t="shared" si="1"/>
        <v>-0.10421</v>
      </c>
      <c r="H58">
        <f t="shared" si="2"/>
        <v>-0.111238</v>
      </c>
      <c r="I58" s="1">
        <f>'Fama-French Data'!A58</f>
        <v>-0.10340000000000001</v>
      </c>
      <c r="J58" s="1">
        <f>'Fama-French Data'!B58</f>
        <v>2.4199999999999999E-2</v>
      </c>
      <c r="K58" s="1">
        <f>'Fama-French Data'!C58</f>
        <v>1.26E-2</v>
      </c>
      <c r="L58">
        <f>'Fama-French Data'!F58</f>
        <v>9.1800000000000007E-2</v>
      </c>
      <c r="M58">
        <f t="shared" si="5"/>
        <v>913.40771828951893</v>
      </c>
      <c r="N58">
        <f t="shared" si="6"/>
        <v>809.01654896775506</v>
      </c>
      <c r="O58">
        <f t="shared" si="7"/>
        <v>902.05201457153805</v>
      </c>
    </row>
    <row r="59" spans="1:15" x14ac:dyDescent="0.25">
      <c r="A59" s="3">
        <v>37560</v>
      </c>
      <c r="B59" s="1">
        <v>3.9638E-2</v>
      </c>
      <c r="C59" s="1">
        <v>6.6462999999999994E-2</v>
      </c>
      <c r="D59" s="1">
        <v>8.8577000000000003E-2</v>
      </c>
      <c r="E59" s="1">
        <f>'Fama-French Data'!D59</f>
        <v>1.4E-3</v>
      </c>
      <c r="F59">
        <f t="shared" si="0"/>
        <v>3.8238000000000001E-2</v>
      </c>
      <c r="G59">
        <f t="shared" si="1"/>
        <v>6.5062999999999996E-2</v>
      </c>
      <c r="H59">
        <f t="shared" si="2"/>
        <v>8.7177000000000004E-2</v>
      </c>
      <c r="I59" s="1">
        <f>'Fama-French Data'!A59</f>
        <v>7.8399999999999997E-2</v>
      </c>
      <c r="J59" s="1">
        <f>'Fama-French Data'!B59</f>
        <v>-3.4000000000000002E-2</v>
      </c>
      <c r="K59" s="1">
        <f>'Fama-French Data'!C59</f>
        <v>-3.7600000000000001E-2</v>
      </c>
      <c r="L59">
        <f>'Fama-French Data'!F59</f>
        <v>-5.5800000000000002E-2</v>
      </c>
      <c r="M59">
        <f t="shared" si="5"/>
        <v>949.61337342707895</v>
      </c>
      <c r="N59">
        <f t="shared" si="6"/>
        <v>862.78621586179895</v>
      </c>
      <c r="O59">
        <f t="shared" si="7"/>
        <v>981.95307586624108</v>
      </c>
    </row>
    <row r="60" spans="1:15" x14ac:dyDescent="0.25">
      <c r="A60" s="3">
        <v>37589</v>
      </c>
      <c r="B60" s="1">
        <v>6.6448999999999994E-2</v>
      </c>
      <c r="C60" s="1">
        <v>1.0029E-2</v>
      </c>
      <c r="D60" s="1">
        <v>6.0606E-2</v>
      </c>
      <c r="E60" s="1">
        <f>'Fama-French Data'!D60</f>
        <v>1.1999999999999999E-3</v>
      </c>
      <c r="F60">
        <f t="shared" si="0"/>
        <v>6.5248999999999988E-2</v>
      </c>
      <c r="G60">
        <f t="shared" si="1"/>
        <v>8.829E-3</v>
      </c>
      <c r="H60">
        <f t="shared" si="2"/>
        <v>5.9406E-2</v>
      </c>
      <c r="I60" s="1">
        <f>'Fama-French Data'!A60</f>
        <v>5.96E-2</v>
      </c>
      <c r="J60" s="1">
        <f>'Fama-French Data'!B60</f>
        <v>3.2599999999999997E-2</v>
      </c>
      <c r="K60" s="1">
        <f>'Fama-French Data'!C60</f>
        <v>-1.1599999999999999E-2</v>
      </c>
      <c r="L60">
        <f>'Fama-French Data'!F60</f>
        <v>-0.1643</v>
      </c>
      <c r="M60">
        <f t="shared" si="5"/>
        <v>1012.714232477935</v>
      </c>
      <c r="N60">
        <f t="shared" si="6"/>
        <v>871.43909882067703</v>
      </c>
      <c r="O60">
        <f t="shared" si="7"/>
        <v>1041.4653239821905</v>
      </c>
    </row>
    <row r="61" spans="1:15" x14ac:dyDescent="0.25">
      <c r="A61" s="3">
        <v>37621</v>
      </c>
      <c r="B61" s="1">
        <v>-5.2604999999999999E-2</v>
      </c>
      <c r="C61" s="1">
        <v>-6.0992999999999999E-2</v>
      </c>
      <c r="D61" s="1">
        <v>-5.9392E-2</v>
      </c>
      <c r="E61" s="1">
        <f>'Fama-French Data'!D61</f>
        <v>1.1000000000000001E-3</v>
      </c>
      <c r="F61">
        <f t="shared" si="0"/>
        <v>-5.3704999999999996E-2</v>
      </c>
      <c r="G61">
        <f t="shared" si="1"/>
        <v>-6.2092999999999995E-2</v>
      </c>
      <c r="H61">
        <f t="shared" si="2"/>
        <v>-6.0491999999999997E-2</v>
      </c>
      <c r="I61" s="1">
        <f>'Fama-French Data'!A61</f>
        <v>-5.7599999999999998E-2</v>
      </c>
      <c r="J61" s="1">
        <f>'Fama-French Data'!B61</f>
        <v>-4.0000000000000002E-4</v>
      </c>
      <c r="K61" s="1">
        <f>'Fama-French Data'!C61</f>
        <v>2.1100000000000001E-2</v>
      </c>
      <c r="L61">
        <f>'Fama-French Data'!F61</f>
        <v>9.7199999999999995E-2</v>
      </c>
      <c r="M61">
        <f t="shared" si="5"/>
        <v>959.44040027843323</v>
      </c>
      <c r="N61">
        <f t="shared" si="6"/>
        <v>818.28741386630747</v>
      </c>
      <c r="O61">
        <f t="shared" si="7"/>
        <v>979.6106154602403</v>
      </c>
    </row>
    <row r="62" spans="1:15" x14ac:dyDescent="0.25">
      <c r="A62" s="3">
        <v>37652</v>
      </c>
      <c r="B62" s="1">
        <v>-1.9438E-2</v>
      </c>
      <c r="C62" s="1">
        <v>-2.5680000000000001E-2</v>
      </c>
      <c r="D62" s="1">
        <v>-2.7119000000000001E-2</v>
      </c>
      <c r="E62" s="1">
        <f>'Fama-French Data'!D62</f>
        <v>1E-3</v>
      </c>
      <c r="F62">
        <f t="shared" si="0"/>
        <v>-2.0438000000000001E-2</v>
      </c>
      <c r="G62">
        <f t="shared" si="1"/>
        <v>-2.6680000000000002E-2</v>
      </c>
      <c r="H62">
        <f t="shared" si="2"/>
        <v>-2.8119000000000002E-2</v>
      </c>
      <c r="I62" s="1">
        <f>'Fama-French Data'!A62</f>
        <v>-2.5700000000000001E-2</v>
      </c>
      <c r="J62" s="1">
        <f>'Fama-French Data'!B62</f>
        <v>1.34E-2</v>
      </c>
      <c r="K62" s="1">
        <f>'Fama-French Data'!C62</f>
        <v>-7.9000000000000008E-3</v>
      </c>
      <c r="L62">
        <f>'Fama-French Data'!F62</f>
        <v>1.5900000000000001E-2</v>
      </c>
      <c r="M62">
        <f t="shared" si="5"/>
        <v>940.79079777782113</v>
      </c>
      <c r="N62">
        <f t="shared" si="6"/>
        <v>797.27379307822071</v>
      </c>
      <c r="O62">
        <f t="shared" si="7"/>
        <v>953.04455517957399</v>
      </c>
    </row>
    <row r="63" spans="1:15" x14ac:dyDescent="0.25">
      <c r="A63" s="3">
        <v>37680</v>
      </c>
      <c r="B63" s="1">
        <v>-2.2026E-2</v>
      </c>
      <c r="C63" s="1">
        <v>-1.5504E-2</v>
      </c>
      <c r="D63" s="1">
        <v>-1.5099E-2</v>
      </c>
      <c r="E63" s="1">
        <f>'Fama-French Data'!D63</f>
        <v>8.9999999999999998E-4</v>
      </c>
      <c r="F63">
        <f t="shared" si="0"/>
        <v>-2.2926000000000002E-2</v>
      </c>
      <c r="G63">
        <f t="shared" si="1"/>
        <v>-1.6404000000000002E-2</v>
      </c>
      <c r="H63">
        <f t="shared" si="2"/>
        <v>-1.5998999999999999E-2</v>
      </c>
      <c r="I63" s="1">
        <f>'Fama-French Data'!A63</f>
        <v>-1.8800000000000001E-2</v>
      </c>
      <c r="J63" s="1">
        <f>'Fama-French Data'!B63</f>
        <v>-4.4000000000000003E-3</v>
      </c>
      <c r="K63" s="1">
        <f>'Fama-French Data'!C63</f>
        <v>-1.3599999999999999E-2</v>
      </c>
      <c r="L63">
        <f>'Fama-French Data'!F63</f>
        <v>1.21E-2</v>
      </c>
      <c r="M63">
        <f t="shared" si="5"/>
        <v>920.06893966596681</v>
      </c>
      <c r="N63">
        <f t="shared" si="6"/>
        <v>784.912860190336</v>
      </c>
      <c r="O63">
        <f t="shared" si="7"/>
        <v>938.65453544091758</v>
      </c>
    </row>
    <row r="64" spans="1:15" x14ac:dyDescent="0.25">
      <c r="A64" s="3">
        <v>37711</v>
      </c>
      <c r="B64" s="1">
        <v>2.2520000000000001E-3</v>
      </c>
      <c r="C64" s="1">
        <v>1.1024000000000001E-2</v>
      </c>
      <c r="D64" s="1">
        <v>9.2630000000000004E-3</v>
      </c>
      <c r="E64" s="1">
        <f>'Fama-French Data'!D64</f>
        <v>1E-3</v>
      </c>
      <c r="F64">
        <f t="shared" si="0"/>
        <v>1.2520000000000001E-3</v>
      </c>
      <c r="G64">
        <f t="shared" si="1"/>
        <v>1.0024000000000002E-2</v>
      </c>
      <c r="H64">
        <f t="shared" si="2"/>
        <v>8.2629999999999995E-3</v>
      </c>
      <c r="I64" s="1">
        <f>'Fama-French Data'!A64</f>
        <v>1.09E-2</v>
      </c>
      <c r="J64" s="1">
        <f>'Fama-French Data'!B64</f>
        <v>1.17E-2</v>
      </c>
      <c r="K64" s="1">
        <f>'Fama-French Data'!C64</f>
        <v>-2.1100000000000001E-2</v>
      </c>
      <c r="L64">
        <f>'Fama-French Data'!F64</f>
        <v>1.4E-2</v>
      </c>
      <c r="M64">
        <f t="shared" si="5"/>
        <v>922.14093491809444</v>
      </c>
      <c r="N64">
        <f t="shared" si="6"/>
        <v>793.56573956107422</v>
      </c>
      <c r="O64">
        <f t="shared" si="7"/>
        <v>947.34929240270685</v>
      </c>
    </row>
    <row r="65" spans="1:15" x14ac:dyDescent="0.25">
      <c r="A65" s="3">
        <v>37741</v>
      </c>
      <c r="B65" s="1">
        <v>7.3116E-2</v>
      </c>
      <c r="C65" s="1">
        <v>6.3084000000000001E-2</v>
      </c>
      <c r="D65" s="1">
        <v>8.2111000000000003E-2</v>
      </c>
      <c r="E65" s="1">
        <f>'Fama-French Data'!D65</f>
        <v>1E-3</v>
      </c>
      <c r="F65">
        <f t="shared" si="0"/>
        <v>7.2116E-2</v>
      </c>
      <c r="G65">
        <f t="shared" si="1"/>
        <v>6.2084E-2</v>
      </c>
      <c r="H65">
        <f t="shared" si="2"/>
        <v>8.1111000000000003E-2</v>
      </c>
      <c r="I65" s="1">
        <f>'Fama-French Data'!A65</f>
        <v>8.1799999999999998E-2</v>
      </c>
      <c r="J65" s="1">
        <f>'Fama-French Data'!B65</f>
        <v>7.6E-3</v>
      </c>
      <c r="K65" s="1">
        <f>'Fama-French Data'!C65</f>
        <v>1.2200000000000001E-2</v>
      </c>
      <c r="L65">
        <f>'Fama-French Data'!F65</f>
        <v>-9.35E-2</v>
      </c>
      <c r="M65">
        <f t="shared" si="5"/>
        <v>989.56419151556577</v>
      </c>
      <c r="N65">
        <f t="shared" si="6"/>
        <v>843.627040675545</v>
      </c>
      <c r="O65">
        <f t="shared" si="7"/>
        <v>1025.1370901511855</v>
      </c>
    </row>
    <row r="66" spans="1:15" x14ac:dyDescent="0.25">
      <c r="A66" s="3">
        <v>37771</v>
      </c>
      <c r="B66" s="1">
        <v>6.7086000000000007E-2</v>
      </c>
      <c r="C66" s="1">
        <v>3.6630000000000003E-2</v>
      </c>
      <c r="D66" s="1">
        <v>5.3658999999999998E-2</v>
      </c>
      <c r="E66" s="1">
        <f>'Fama-French Data'!D66</f>
        <v>8.9999999999999998E-4</v>
      </c>
      <c r="F66">
        <f t="shared" ref="F66:F129" si="8">B66-$E66</f>
        <v>6.6186000000000009E-2</v>
      </c>
      <c r="G66">
        <f t="shared" ref="G66:G129" si="9">C66-$E66</f>
        <v>3.5730000000000005E-2</v>
      </c>
      <c r="H66">
        <f t="shared" ref="H66:H129" si="10">D66-$E66</f>
        <v>5.2759E-2</v>
      </c>
      <c r="I66" s="1">
        <f>'Fama-French Data'!A66</f>
        <v>6.0499999999999998E-2</v>
      </c>
      <c r="J66" s="1">
        <f>'Fama-French Data'!B66</f>
        <v>4.6100000000000002E-2</v>
      </c>
      <c r="K66" s="1">
        <f>'Fama-French Data'!C66</f>
        <v>7.0000000000000001E-3</v>
      </c>
      <c r="L66">
        <f>'Fama-French Data'!F66</f>
        <v>-0.1075</v>
      </c>
      <c r="M66">
        <f t="shared" si="5"/>
        <v>1055.9500948675791</v>
      </c>
      <c r="N66">
        <f t="shared" si="6"/>
        <v>874.52909917549016</v>
      </c>
      <c r="O66">
        <f t="shared" si="7"/>
        <v>1080.1449212716079</v>
      </c>
    </row>
    <row r="67" spans="1:15" x14ac:dyDescent="0.25">
      <c r="A67" s="3">
        <v>37802</v>
      </c>
      <c r="B67" s="1">
        <v>1.6698999999999999E-2</v>
      </c>
      <c r="C67" s="1">
        <v>1.6254000000000001E-2</v>
      </c>
      <c r="D67" s="1">
        <v>1.2895999999999999E-2</v>
      </c>
      <c r="E67" s="1">
        <f>'Fama-French Data'!D67</f>
        <v>1E-3</v>
      </c>
      <c r="F67">
        <f t="shared" si="8"/>
        <v>1.5698999999999998E-2</v>
      </c>
      <c r="G67">
        <f t="shared" si="9"/>
        <v>1.5254E-2</v>
      </c>
      <c r="H67">
        <f t="shared" si="10"/>
        <v>1.1896E-2</v>
      </c>
      <c r="I67" s="1">
        <f>'Fama-French Data'!A67</f>
        <v>1.4200000000000001E-2</v>
      </c>
      <c r="J67" s="1">
        <f>'Fama-French Data'!B67</f>
        <v>1.7000000000000001E-2</v>
      </c>
      <c r="K67" s="1">
        <f>'Fama-French Data'!C67</f>
        <v>1.4E-3</v>
      </c>
      <c r="L67">
        <f>'Fama-French Data'!F67</f>
        <v>-1.23E-2</v>
      </c>
      <c r="M67">
        <f t="shared" si="5"/>
        <v>1073.5834055017729</v>
      </c>
      <c r="N67">
        <f t="shared" si="6"/>
        <v>888.7436951534886</v>
      </c>
      <c r="O67">
        <f t="shared" si="7"/>
        <v>1094.0744701763267</v>
      </c>
    </row>
    <row r="68" spans="1:15" x14ac:dyDescent="0.25">
      <c r="A68" s="3">
        <v>37833</v>
      </c>
      <c r="B68" s="1">
        <v>1.8374999999999999E-2</v>
      </c>
      <c r="C68" s="1">
        <v>3.1293000000000001E-2</v>
      </c>
      <c r="D68" s="1">
        <v>1.7329000000000001E-2</v>
      </c>
      <c r="E68" s="1">
        <f>'Fama-French Data'!D68</f>
        <v>6.9999999999999999E-4</v>
      </c>
      <c r="F68">
        <f t="shared" si="8"/>
        <v>1.7675E-2</v>
      </c>
      <c r="G68">
        <f t="shared" si="9"/>
        <v>3.0593000000000002E-2</v>
      </c>
      <c r="H68">
        <f t="shared" si="10"/>
        <v>1.6629000000000001E-2</v>
      </c>
      <c r="I68" s="1">
        <f>'Fama-French Data'!A68</f>
        <v>2.3300000000000001E-2</v>
      </c>
      <c r="J68" s="1">
        <f>'Fama-French Data'!B68</f>
        <v>4.9299999999999997E-2</v>
      </c>
      <c r="K68" s="1">
        <f>'Fama-French Data'!C68</f>
        <v>-1.5299999999999999E-2</v>
      </c>
      <c r="L68">
        <f>'Fama-French Data'!F68</f>
        <v>-3.0000000000000001E-3</v>
      </c>
      <c r="M68">
        <f t="shared" ref="M68:M131" si="11">M67*(B68+1)</f>
        <v>1093.310500577868</v>
      </c>
      <c r="N68">
        <f t="shared" ref="N68:N131" si="12">N67*(C68+1)</f>
        <v>916.55515160592677</v>
      </c>
      <c r="O68">
        <f t="shared" ref="O68:O131" si="13">O67*(D68+1)</f>
        <v>1113.0336866700122</v>
      </c>
    </row>
    <row r="69" spans="1:15" x14ac:dyDescent="0.25">
      <c r="A69" s="3">
        <v>37862</v>
      </c>
      <c r="B69" s="1">
        <v>2.3741999999999999E-2</v>
      </c>
      <c r="C69" s="1">
        <v>1.3486E-2</v>
      </c>
      <c r="D69" s="1">
        <v>2.0039999999999999E-2</v>
      </c>
      <c r="E69" s="1">
        <f>'Fama-French Data'!D69</f>
        <v>6.9999999999999999E-4</v>
      </c>
      <c r="F69">
        <f t="shared" si="8"/>
        <v>2.3042E-2</v>
      </c>
      <c r="G69">
        <f t="shared" si="9"/>
        <v>1.2786E-2</v>
      </c>
      <c r="H69">
        <f t="shared" si="10"/>
        <v>1.934E-2</v>
      </c>
      <c r="I69" s="1">
        <f>'Fama-French Data'!A69</f>
        <v>2.3300000000000001E-2</v>
      </c>
      <c r="J69" s="1">
        <f>'Fama-French Data'!B69</f>
        <v>2.4400000000000002E-2</v>
      </c>
      <c r="K69" s="1">
        <f>'Fama-French Data'!C69</f>
        <v>1.6400000000000001E-2</v>
      </c>
      <c r="L69">
        <f>'Fama-French Data'!F69</f>
        <v>-5.3E-3</v>
      </c>
      <c r="M69">
        <f t="shared" si="11"/>
        <v>1119.2678784825875</v>
      </c>
      <c r="N69">
        <f t="shared" si="12"/>
        <v>928.91581438048445</v>
      </c>
      <c r="O69">
        <f t="shared" si="13"/>
        <v>1135.3388817508794</v>
      </c>
    </row>
    <row r="70" spans="1:15" x14ac:dyDescent="0.25">
      <c r="A70" s="3">
        <v>37894</v>
      </c>
      <c r="B70" s="1">
        <v>-8.5339999999999999E-3</v>
      </c>
      <c r="C70" s="1">
        <v>-1.9295E-2</v>
      </c>
      <c r="D70" s="1">
        <v>-1.1261999999999999E-2</v>
      </c>
      <c r="E70" s="1">
        <f>'Fama-French Data'!D70</f>
        <v>8.0000000000000004E-4</v>
      </c>
      <c r="F70">
        <f t="shared" si="8"/>
        <v>-9.3340000000000003E-3</v>
      </c>
      <c r="G70">
        <f t="shared" si="9"/>
        <v>-2.0094999999999998E-2</v>
      </c>
      <c r="H70">
        <f t="shared" si="10"/>
        <v>-1.2062E-2</v>
      </c>
      <c r="I70" s="1">
        <f>'Fama-French Data'!A70</f>
        <v>-1.24E-2</v>
      </c>
      <c r="J70" s="1">
        <f>'Fama-French Data'!B70</f>
        <v>8.5000000000000006E-3</v>
      </c>
      <c r="K70" s="1">
        <f>'Fama-French Data'!C70</f>
        <v>1.4E-3</v>
      </c>
      <c r="L70">
        <f>'Fama-French Data'!F70</f>
        <v>-6.9999999999999999E-4</v>
      </c>
      <c r="M70">
        <f t="shared" si="11"/>
        <v>1109.7160464076171</v>
      </c>
      <c r="N70">
        <f t="shared" si="12"/>
        <v>910.99238374201309</v>
      </c>
      <c r="O70">
        <f t="shared" si="13"/>
        <v>1122.552695264601</v>
      </c>
    </row>
    <row r="71" spans="1:15" x14ac:dyDescent="0.25">
      <c r="A71" s="3">
        <v>37925</v>
      </c>
      <c r="B71" s="1">
        <v>5.9924999999999999E-2</v>
      </c>
      <c r="C71" s="1">
        <v>7.3270000000000002E-2</v>
      </c>
      <c r="D71" s="1">
        <v>5.6829999999999999E-2</v>
      </c>
      <c r="E71" s="1">
        <f>'Fama-French Data'!D71</f>
        <v>6.9999999999999999E-4</v>
      </c>
      <c r="F71">
        <f t="shared" si="8"/>
        <v>5.9225E-2</v>
      </c>
      <c r="G71">
        <f t="shared" si="9"/>
        <v>7.2569999999999996E-2</v>
      </c>
      <c r="H71">
        <f t="shared" si="10"/>
        <v>5.6129999999999999E-2</v>
      </c>
      <c r="I71" s="1">
        <f>'Fama-French Data'!A71</f>
        <v>6.08E-2</v>
      </c>
      <c r="J71" s="1">
        <f>'Fama-French Data'!B71</f>
        <v>2.5899999999999999E-2</v>
      </c>
      <c r="K71" s="1">
        <f>'Fama-French Data'!C71</f>
        <v>2.2100000000000002E-2</v>
      </c>
      <c r="L71">
        <f>'Fama-French Data'!F71</f>
        <v>4.0099999999999997E-2</v>
      </c>
      <c r="M71">
        <f t="shared" si="11"/>
        <v>1176.2157804885935</v>
      </c>
      <c r="N71">
        <f t="shared" si="12"/>
        <v>977.74079569879029</v>
      </c>
      <c r="O71">
        <f t="shared" si="13"/>
        <v>1186.3473649364882</v>
      </c>
    </row>
    <row r="72" spans="1:15" x14ac:dyDescent="0.25">
      <c r="A72" s="3">
        <v>37953</v>
      </c>
      <c r="B72" s="1">
        <v>1.5900999999999998E-2</v>
      </c>
      <c r="C72" s="1">
        <v>1.1377999999999999E-2</v>
      </c>
      <c r="D72" s="1">
        <v>8.9619999999999995E-3</v>
      </c>
      <c r="E72" s="1">
        <f>'Fama-French Data'!D72</f>
        <v>6.9999999999999999E-4</v>
      </c>
      <c r="F72">
        <f t="shared" si="8"/>
        <v>1.5200999999999999E-2</v>
      </c>
      <c r="G72">
        <f t="shared" si="9"/>
        <v>1.0678E-2</v>
      </c>
      <c r="H72">
        <f t="shared" si="10"/>
        <v>8.2620000000000002E-3</v>
      </c>
      <c r="I72" s="1">
        <f>'Fama-French Data'!A72</f>
        <v>1.35E-2</v>
      </c>
      <c r="J72" s="1">
        <f>'Fama-French Data'!B72</f>
        <v>2.06E-2</v>
      </c>
      <c r="K72" s="1">
        <f>'Fama-French Data'!C72</f>
        <v>1.72E-2</v>
      </c>
      <c r="L72">
        <f>'Fama-French Data'!F72</f>
        <v>1.3599999999999999E-2</v>
      </c>
      <c r="M72">
        <f t="shared" si="11"/>
        <v>1194.9187876141425</v>
      </c>
      <c r="N72">
        <f t="shared" si="12"/>
        <v>988.86553047225129</v>
      </c>
      <c r="O72">
        <f t="shared" si="13"/>
        <v>1196.979410021049</v>
      </c>
    </row>
    <row r="73" spans="1:15" x14ac:dyDescent="0.25">
      <c r="A73" s="3">
        <v>37986</v>
      </c>
      <c r="B73" s="1">
        <v>4.2609000000000001E-2</v>
      </c>
      <c r="C73" s="1">
        <v>2.75E-2</v>
      </c>
      <c r="D73" s="1">
        <v>5.1594000000000001E-2</v>
      </c>
      <c r="E73" s="1">
        <f>'Fama-French Data'!D73</f>
        <v>8.0000000000000004E-4</v>
      </c>
      <c r="F73">
        <f t="shared" si="8"/>
        <v>4.1808999999999999E-2</v>
      </c>
      <c r="G73">
        <f t="shared" si="9"/>
        <v>2.6700000000000002E-2</v>
      </c>
      <c r="H73">
        <f t="shared" si="10"/>
        <v>5.0793999999999999E-2</v>
      </c>
      <c r="I73" s="1">
        <f>'Fama-French Data'!A73</f>
        <v>4.2900000000000001E-2</v>
      </c>
      <c r="J73" s="1">
        <f>'Fama-French Data'!B73</f>
        <v>-2.6800000000000001E-2</v>
      </c>
      <c r="K73" s="1">
        <f>'Fama-French Data'!C73</f>
        <v>1.5100000000000001E-2</v>
      </c>
      <c r="L73">
        <f>'Fama-French Data'!F73</f>
        <v>-5.5399999999999998E-2</v>
      </c>
      <c r="M73">
        <f t="shared" si="11"/>
        <v>1245.8330822355933</v>
      </c>
      <c r="N73">
        <f t="shared" si="12"/>
        <v>1016.0593325602383</v>
      </c>
      <c r="O73">
        <f t="shared" si="13"/>
        <v>1258.7363657016749</v>
      </c>
    </row>
    <row r="74" spans="1:15" x14ac:dyDescent="0.25">
      <c r="A74" s="3">
        <v>38016</v>
      </c>
      <c r="B74" s="1">
        <v>2.0868000000000001E-2</v>
      </c>
      <c r="C74" s="1">
        <v>3.9537999999999997E-2</v>
      </c>
      <c r="D74" s="1">
        <v>1.7849E-2</v>
      </c>
      <c r="E74" s="1">
        <f>'Fama-French Data'!D74</f>
        <v>6.9999999999999999E-4</v>
      </c>
      <c r="F74">
        <f t="shared" si="8"/>
        <v>2.0168000000000002E-2</v>
      </c>
      <c r="G74">
        <f t="shared" si="9"/>
        <v>3.8837999999999998E-2</v>
      </c>
      <c r="H74">
        <f t="shared" si="10"/>
        <v>1.7149000000000001E-2</v>
      </c>
      <c r="I74" s="1">
        <f>'Fama-French Data'!A74</f>
        <v>2.1499999999999998E-2</v>
      </c>
      <c r="J74" s="1">
        <f>'Fama-French Data'!B74</f>
        <v>2.5399999999999999E-2</v>
      </c>
      <c r="K74" s="1">
        <f>'Fama-French Data'!C74</f>
        <v>2.4199999999999999E-2</v>
      </c>
      <c r="L74">
        <f>'Fama-French Data'!F74</f>
        <v>2.5700000000000001E-2</v>
      </c>
      <c r="M74">
        <f t="shared" si="11"/>
        <v>1271.8311269956857</v>
      </c>
      <c r="N74">
        <f t="shared" si="12"/>
        <v>1056.2322864510052</v>
      </c>
      <c r="O74">
        <f t="shared" si="13"/>
        <v>1281.2035510930841</v>
      </c>
    </row>
    <row r="75" spans="1:15" x14ac:dyDescent="0.25">
      <c r="A75" s="3">
        <v>38044</v>
      </c>
      <c r="B75" s="1">
        <v>1.9623999999999999E-2</v>
      </c>
      <c r="C75" s="1">
        <v>1.0532E-2</v>
      </c>
      <c r="D75" s="1">
        <v>1.3591000000000001E-2</v>
      </c>
      <c r="E75" s="1">
        <f>'Fama-French Data'!D75</f>
        <v>5.9999999999999995E-4</v>
      </c>
      <c r="F75">
        <f t="shared" si="8"/>
        <v>1.9023999999999999E-2</v>
      </c>
      <c r="G75">
        <f t="shared" si="9"/>
        <v>9.9319999999999999E-3</v>
      </c>
      <c r="H75">
        <f t="shared" si="10"/>
        <v>1.2991000000000001E-2</v>
      </c>
      <c r="I75" s="1">
        <f>'Fama-French Data'!A75</f>
        <v>1.4E-2</v>
      </c>
      <c r="J75" s="1">
        <f>'Fama-French Data'!B75</f>
        <v>-1.5699999999999999E-2</v>
      </c>
      <c r="K75" s="1">
        <f>'Fama-French Data'!C75</f>
        <v>9.4999999999999998E-3</v>
      </c>
      <c r="L75">
        <f>'Fama-French Data'!F75</f>
        <v>-1.17E-2</v>
      </c>
      <c r="M75">
        <f t="shared" si="11"/>
        <v>1296.7895410318492</v>
      </c>
      <c r="N75">
        <f t="shared" si="12"/>
        <v>1067.3565248919072</v>
      </c>
      <c r="O75">
        <f t="shared" si="13"/>
        <v>1298.6163885559902</v>
      </c>
    </row>
    <row r="76" spans="1:15" x14ac:dyDescent="0.25">
      <c r="A76" s="3">
        <v>38077</v>
      </c>
      <c r="B76" s="1">
        <v>-1.0024E-2</v>
      </c>
      <c r="C76" s="1">
        <v>-1.1580999999999999E-2</v>
      </c>
      <c r="D76" s="1">
        <v>-1.4964999999999999E-2</v>
      </c>
      <c r="E76" s="1">
        <f>'Fama-French Data'!D76</f>
        <v>8.9999999999999998E-4</v>
      </c>
      <c r="F76">
        <f t="shared" si="8"/>
        <v>-1.0924E-2</v>
      </c>
      <c r="G76">
        <f t="shared" si="9"/>
        <v>-1.2480999999999999E-2</v>
      </c>
      <c r="H76">
        <f t="shared" si="10"/>
        <v>-1.5865000000000001E-2</v>
      </c>
      <c r="I76" s="1">
        <f>'Fama-French Data'!A76</f>
        <v>-1.32E-2</v>
      </c>
      <c r="J76" s="1">
        <f>'Fama-French Data'!B76</f>
        <v>1.7299999999999999E-2</v>
      </c>
      <c r="K76" s="1">
        <f>'Fama-French Data'!C76</f>
        <v>2.3E-3</v>
      </c>
      <c r="L76">
        <f>'Fama-French Data'!F76</f>
        <v>1.9E-3</v>
      </c>
      <c r="M76">
        <f t="shared" si="11"/>
        <v>1283.7905226725459</v>
      </c>
      <c r="N76">
        <f t="shared" si="12"/>
        <v>1054.9954689771341</v>
      </c>
      <c r="O76">
        <f t="shared" si="13"/>
        <v>1279.1825943012498</v>
      </c>
    </row>
    <row r="77" spans="1:15" x14ac:dyDescent="0.25">
      <c r="A77" s="3">
        <v>38107</v>
      </c>
      <c r="B77" s="1">
        <v>-3.1605000000000001E-2</v>
      </c>
      <c r="C77" s="1">
        <v>-3.8663999999999997E-2</v>
      </c>
      <c r="D77" s="1">
        <v>-1.5859000000000002E-2</v>
      </c>
      <c r="E77" s="1">
        <f>'Fama-French Data'!D77</f>
        <v>8.0000000000000004E-4</v>
      </c>
      <c r="F77">
        <f t="shared" si="8"/>
        <v>-3.2405000000000003E-2</v>
      </c>
      <c r="G77">
        <f t="shared" si="9"/>
        <v>-3.9463999999999999E-2</v>
      </c>
      <c r="H77">
        <f t="shared" si="10"/>
        <v>-1.6659E-2</v>
      </c>
      <c r="I77" s="1">
        <f>'Fama-French Data'!A77</f>
        <v>-1.8100000000000002E-2</v>
      </c>
      <c r="J77" s="1">
        <f>'Fama-French Data'!B77</f>
        <v>-1.7299999999999999E-2</v>
      </c>
      <c r="K77" s="1">
        <f>'Fama-French Data'!C77</f>
        <v>-3.2300000000000002E-2</v>
      </c>
      <c r="L77">
        <f>'Fama-French Data'!F77</f>
        <v>-5.3400000000000003E-2</v>
      </c>
      <c r="M77">
        <f t="shared" si="11"/>
        <v>1243.21632320348</v>
      </c>
      <c r="N77">
        <f t="shared" si="12"/>
        <v>1014.2051241646021</v>
      </c>
      <c r="O77">
        <f t="shared" si="13"/>
        <v>1258.8960375382262</v>
      </c>
    </row>
    <row r="78" spans="1:15" x14ac:dyDescent="0.25">
      <c r="A78" s="3">
        <v>38135</v>
      </c>
      <c r="B78" s="1">
        <v>7.5310000000000004E-3</v>
      </c>
      <c r="C78" s="1">
        <v>1.8282E-2</v>
      </c>
      <c r="D78" s="1">
        <v>1.3429E-2</v>
      </c>
      <c r="E78" s="1">
        <f>'Fama-French Data'!D78</f>
        <v>5.9999999999999995E-4</v>
      </c>
      <c r="F78">
        <f t="shared" si="8"/>
        <v>6.9310000000000005E-3</v>
      </c>
      <c r="G78">
        <f t="shared" si="9"/>
        <v>1.7682E-2</v>
      </c>
      <c r="H78">
        <f t="shared" si="10"/>
        <v>1.2829E-2</v>
      </c>
      <c r="I78" s="1">
        <f>'Fama-French Data'!A78</f>
        <v>1.18E-2</v>
      </c>
      <c r="J78" s="1">
        <f>'Fama-French Data'!B78</f>
        <v>-2.3E-3</v>
      </c>
      <c r="K78" s="1">
        <f>'Fama-French Data'!C78</f>
        <v>-1.8E-3</v>
      </c>
      <c r="L78">
        <f>'Fama-French Data'!F78</f>
        <v>1.49E-2</v>
      </c>
      <c r="M78">
        <f t="shared" si="11"/>
        <v>1252.5789853335255</v>
      </c>
      <c r="N78">
        <f t="shared" si="12"/>
        <v>1032.7468222445793</v>
      </c>
      <c r="O78">
        <f t="shared" si="13"/>
        <v>1275.8017524263269</v>
      </c>
    </row>
    <row r="79" spans="1:15" x14ac:dyDescent="0.25">
      <c r="A79" s="3">
        <v>38168</v>
      </c>
      <c r="B79" s="1">
        <v>1.7857000000000001E-2</v>
      </c>
      <c r="C79" s="1">
        <v>1.9748999999999999E-2</v>
      </c>
      <c r="D79" s="1">
        <v>1.9342000000000002E-2</v>
      </c>
      <c r="E79" s="1">
        <f>'Fama-French Data'!D79</f>
        <v>8.0000000000000004E-4</v>
      </c>
      <c r="F79">
        <f t="shared" si="8"/>
        <v>1.7057000000000003E-2</v>
      </c>
      <c r="G79">
        <f t="shared" si="9"/>
        <v>1.8949000000000001E-2</v>
      </c>
      <c r="H79">
        <f t="shared" si="10"/>
        <v>1.8542000000000003E-2</v>
      </c>
      <c r="I79" s="1">
        <f>'Fama-French Data'!A79</f>
        <v>1.8499999999999999E-2</v>
      </c>
      <c r="J79" s="1">
        <f>'Fama-French Data'!B79</f>
        <v>2.2499999999999999E-2</v>
      </c>
      <c r="K79" s="1">
        <f>'Fama-French Data'!C79</f>
        <v>1.21E-2</v>
      </c>
      <c r="L79">
        <f>'Fama-French Data'!F79</f>
        <v>2.0799999999999999E-2</v>
      </c>
      <c r="M79">
        <f t="shared" si="11"/>
        <v>1274.9462882746263</v>
      </c>
      <c r="N79">
        <f t="shared" si="12"/>
        <v>1053.1425392370875</v>
      </c>
      <c r="O79">
        <f t="shared" si="13"/>
        <v>1300.4783099217568</v>
      </c>
    </row>
    <row r="80" spans="1:15" x14ac:dyDescent="0.25">
      <c r="A80" s="3">
        <v>38198</v>
      </c>
      <c r="B80" s="1">
        <v>-3.3468999999999999E-2</v>
      </c>
      <c r="C80" s="1">
        <v>-5.8685000000000001E-2</v>
      </c>
      <c r="D80" s="1">
        <v>-3.3478000000000001E-2</v>
      </c>
      <c r="E80" s="1">
        <f>'Fama-French Data'!D80</f>
        <v>1E-3</v>
      </c>
      <c r="F80">
        <f t="shared" si="8"/>
        <v>-3.4469E-2</v>
      </c>
      <c r="G80">
        <f t="shared" si="9"/>
        <v>-5.9685000000000002E-2</v>
      </c>
      <c r="H80">
        <f t="shared" si="10"/>
        <v>-3.4478000000000002E-2</v>
      </c>
      <c r="I80" s="1">
        <f>'Fama-French Data'!A80</f>
        <v>-4.0399999999999998E-2</v>
      </c>
      <c r="J80" s="1">
        <f>'Fama-French Data'!B80</f>
        <v>-3.7600000000000001E-2</v>
      </c>
      <c r="K80" s="1">
        <f>'Fama-French Data'!C80</f>
        <v>3.2199999999999999E-2</v>
      </c>
      <c r="L80">
        <f>'Fama-French Data'!F80</f>
        <v>-2.24E-2</v>
      </c>
      <c r="M80">
        <f t="shared" si="11"/>
        <v>1232.2751109523629</v>
      </c>
      <c r="N80">
        <f t="shared" si="12"/>
        <v>991.33886932195901</v>
      </c>
      <c r="O80">
        <f t="shared" si="13"/>
        <v>1256.9408970621962</v>
      </c>
    </row>
    <row r="81" spans="1:15" x14ac:dyDescent="0.25">
      <c r="A81" s="3">
        <v>38230</v>
      </c>
      <c r="B81" s="1">
        <v>4.2230000000000002E-3</v>
      </c>
      <c r="C81" s="1">
        <v>-1.4963000000000001E-2</v>
      </c>
      <c r="D81" s="1">
        <v>4.0489999999999996E-3</v>
      </c>
      <c r="E81" s="1">
        <f>'Fama-French Data'!D81</f>
        <v>1.1000000000000001E-3</v>
      </c>
      <c r="F81">
        <f t="shared" si="8"/>
        <v>3.1229999999999999E-3</v>
      </c>
      <c r="G81">
        <f t="shared" si="9"/>
        <v>-1.6063000000000001E-2</v>
      </c>
      <c r="H81">
        <f t="shared" si="10"/>
        <v>2.9489999999999994E-3</v>
      </c>
      <c r="I81" s="1">
        <f>'Fama-French Data'!A81</f>
        <v>6.9999999999999999E-4</v>
      </c>
      <c r="J81" s="1">
        <f>'Fama-French Data'!B81</f>
        <v>-1.52E-2</v>
      </c>
      <c r="K81" s="1">
        <f>'Fama-French Data'!C81</f>
        <v>1.0800000000000001E-2</v>
      </c>
      <c r="L81">
        <f>'Fama-French Data'!F81</f>
        <v>-1.55E-2</v>
      </c>
      <c r="M81">
        <f t="shared" si="11"/>
        <v>1237.4790087459148</v>
      </c>
      <c r="N81">
        <f t="shared" si="12"/>
        <v>976.5054658202946</v>
      </c>
      <c r="O81">
        <f t="shared" si="13"/>
        <v>1262.0302507544011</v>
      </c>
    </row>
    <row r="82" spans="1:15" x14ac:dyDescent="0.25">
      <c r="A82" s="3">
        <v>38260</v>
      </c>
      <c r="B82" s="1">
        <v>2.1867000000000001E-2</v>
      </c>
      <c r="C82" s="1">
        <v>2.4050999999999999E-2</v>
      </c>
      <c r="D82" s="1">
        <v>1.0193000000000001E-2</v>
      </c>
      <c r="E82" s="1">
        <f>'Fama-French Data'!D82</f>
        <v>1.1000000000000001E-3</v>
      </c>
      <c r="F82">
        <f t="shared" si="8"/>
        <v>2.0767000000000001E-2</v>
      </c>
      <c r="G82">
        <f t="shared" si="9"/>
        <v>2.2950999999999999E-2</v>
      </c>
      <c r="H82">
        <f t="shared" si="10"/>
        <v>9.0930000000000004E-3</v>
      </c>
      <c r="I82" s="1">
        <f>'Fama-French Data'!A82</f>
        <v>1.6E-2</v>
      </c>
      <c r="J82" s="1">
        <f>'Fama-French Data'!B82</f>
        <v>3.0099999999999998E-2</v>
      </c>
      <c r="K82" s="1">
        <f>'Fama-French Data'!C82</f>
        <v>-5.0000000000000001E-4</v>
      </c>
      <c r="L82">
        <f>'Fama-French Data'!F82</f>
        <v>5.4800000000000001E-2</v>
      </c>
      <c r="M82">
        <f t="shared" si="11"/>
        <v>1264.5389622301618</v>
      </c>
      <c r="N82">
        <f t="shared" si="12"/>
        <v>999.99139877873858</v>
      </c>
      <c r="O82">
        <f t="shared" si="13"/>
        <v>1274.8941251003405</v>
      </c>
    </row>
    <row r="83" spans="1:15" x14ac:dyDescent="0.25">
      <c r="A83" s="3">
        <v>38289</v>
      </c>
      <c r="B83" s="1">
        <v>2.4710000000000001E-3</v>
      </c>
      <c r="C83" s="1">
        <v>1.2361E-2</v>
      </c>
      <c r="D83" s="1">
        <v>1.5583E-2</v>
      </c>
      <c r="E83" s="1">
        <f>'Fama-French Data'!D83</f>
        <v>1.1000000000000001E-3</v>
      </c>
      <c r="F83">
        <f t="shared" si="8"/>
        <v>1.371E-3</v>
      </c>
      <c r="G83">
        <f t="shared" si="9"/>
        <v>1.1261E-2</v>
      </c>
      <c r="H83">
        <f t="shared" si="10"/>
        <v>1.4482999999999999E-2</v>
      </c>
      <c r="I83" s="1">
        <f>'Fama-French Data'!A83</f>
        <v>1.4200000000000001E-2</v>
      </c>
      <c r="J83" s="1">
        <f>'Fama-French Data'!B83</f>
        <v>1.2999999999999999E-3</v>
      </c>
      <c r="K83" s="1">
        <f>'Fama-French Data'!C83</f>
        <v>-2.5999999999999999E-3</v>
      </c>
      <c r="L83">
        <f>'Fama-French Data'!F83</f>
        <v>-1.43E-2</v>
      </c>
      <c r="M83">
        <f t="shared" si="11"/>
        <v>1267.6636380058324</v>
      </c>
      <c r="N83">
        <f t="shared" si="12"/>
        <v>1012.3522924590426</v>
      </c>
      <c r="O83">
        <f t="shared" si="13"/>
        <v>1294.7608002517791</v>
      </c>
    </row>
    <row r="84" spans="1:15" x14ac:dyDescent="0.25">
      <c r="A84" s="3">
        <v>38321</v>
      </c>
      <c r="B84" s="1">
        <v>5.3409999999999999E-2</v>
      </c>
      <c r="C84" s="1">
        <v>4.0904000000000003E-2</v>
      </c>
      <c r="D84" s="1">
        <v>4.0333000000000001E-2</v>
      </c>
      <c r="E84" s="1">
        <f>'Fama-French Data'!D84</f>
        <v>1.5E-3</v>
      </c>
      <c r="F84">
        <f t="shared" si="8"/>
        <v>5.1909999999999998E-2</v>
      </c>
      <c r="G84">
        <f t="shared" si="9"/>
        <v>3.9404000000000002E-2</v>
      </c>
      <c r="H84">
        <f t="shared" si="10"/>
        <v>3.8832999999999999E-2</v>
      </c>
      <c r="I84" s="1">
        <f>'Fama-French Data'!A84</f>
        <v>4.53E-2</v>
      </c>
      <c r="J84" s="1">
        <f>'Fama-French Data'!B84</f>
        <v>3.7400000000000003E-2</v>
      </c>
      <c r="K84" s="1">
        <f>'Fama-French Data'!C84</f>
        <v>1.5699999999999999E-2</v>
      </c>
      <c r="L84">
        <f>'Fama-French Data'!F84</f>
        <v>3.0800000000000001E-2</v>
      </c>
      <c r="M84">
        <f t="shared" si="11"/>
        <v>1335.3695529117238</v>
      </c>
      <c r="N84">
        <f t="shared" si="12"/>
        <v>1053.7615506297873</v>
      </c>
      <c r="O84">
        <f t="shared" si="13"/>
        <v>1346.982387608334</v>
      </c>
    </row>
    <row r="85" spans="1:15" x14ac:dyDescent="0.25">
      <c r="A85" s="3">
        <v>38352</v>
      </c>
      <c r="B85" s="1">
        <v>3.4320999999999997E-2</v>
      </c>
      <c r="C85" s="1">
        <v>4.8093999999999998E-2</v>
      </c>
      <c r="D85" s="1">
        <v>3.3923000000000002E-2</v>
      </c>
      <c r="E85" s="1">
        <f>'Fama-French Data'!D85</f>
        <v>1.6000000000000001E-3</v>
      </c>
      <c r="F85">
        <f t="shared" si="8"/>
        <v>3.2721E-2</v>
      </c>
      <c r="G85">
        <f t="shared" si="9"/>
        <v>4.6494000000000001E-2</v>
      </c>
      <c r="H85">
        <f t="shared" si="10"/>
        <v>3.2323000000000005E-2</v>
      </c>
      <c r="I85" s="1">
        <f>'Fama-French Data'!A85</f>
        <v>3.4200000000000001E-2</v>
      </c>
      <c r="J85" s="1">
        <f>'Fama-French Data'!B85</f>
        <v>-2.9999999999999997E-4</v>
      </c>
      <c r="K85" s="1">
        <f>'Fama-French Data'!C85</f>
        <v>-2.3E-3</v>
      </c>
      <c r="L85">
        <f>'Fama-French Data'!F85</f>
        <v>-2.8500000000000001E-2</v>
      </c>
      <c r="M85">
        <f t="shared" si="11"/>
        <v>1381.200771337207</v>
      </c>
      <c r="N85">
        <f t="shared" si="12"/>
        <v>1104.4411586457763</v>
      </c>
      <c r="O85">
        <f t="shared" si="13"/>
        <v>1392.6760711431714</v>
      </c>
    </row>
    <row r="86" spans="1:15" x14ac:dyDescent="0.25">
      <c r="A86" s="3">
        <v>38383</v>
      </c>
      <c r="B86" s="1">
        <v>-2.8008999999999999E-2</v>
      </c>
      <c r="C86" s="1">
        <v>-3.9731000000000002E-2</v>
      </c>
      <c r="D86" s="1">
        <v>-2.4209999999999999E-2</v>
      </c>
      <c r="E86" s="1">
        <f>'Fama-French Data'!D86</f>
        <v>1.6000000000000001E-3</v>
      </c>
      <c r="F86">
        <f t="shared" si="8"/>
        <v>-2.9609E-2</v>
      </c>
      <c r="G86">
        <f t="shared" si="9"/>
        <v>-4.1331E-2</v>
      </c>
      <c r="H86">
        <f t="shared" si="10"/>
        <v>-2.581E-2</v>
      </c>
      <c r="I86" s="1">
        <f>'Fama-French Data'!A86</f>
        <v>-2.75E-2</v>
      </c>
      <c r="J86" s="1">
        <f>'Fama-French Data'!B86</f>
        <v>-1.66E-2</v>
      </c>
      <c r="K86" s="1">
        <f>'Fama-French Data'!C86</f>
        <v>2.06E-2</v>
      </c>
      <c r="L86">
        <f>'Fama-French Data'!F86</f>
        <v>2.9600000000000001E-2</v>
      </c>
      <c r="M86">
        <f t="shared" si="11"/>
        <v>1342.5147189328231</v>
      </c>
      <c r="N86">
        <f t="shared" si="12"/>
        <v>1060.5606069716212</v>
      </c>
      <c r="O86">
        <f t="shared" si="13"/>
        <v>1358.9593834607954</v>
      </c>
    </row>
    <row r="87" spans="1:15" x14ac:dyDescent="0.25">
      <c r="A87" s="3">
        <v>38411</v>
      </c>
      <c r="B87" s="1">
        <v>2.8036999999999999E-2</v>
      </c>
      <c r="C87" s="1">
        <v>2.3310000000000002E-3</v>
      </c>
      <c r="D87" s="1">
        <v>2.1026E-2</v>
      </c>
      <c r="E87" s="1">
        <f>'Fama-French Data'!D87</f>
        <v>1.6000000000000001E-3</v>
      </c>
      <c r="F87">
        <f t="shared" si="8"/>
        <v>2.6436999999999999E-2</v>
      </c>
      <c r="G87">
        <f t="shared" si="9"/>
        <v>7.310000000000001E-4</v>
      </c>
      <c r="H87">
        <f t="shared" si="10"/>
        <v>1.9425999999999999E-2</v>
      </c>
      <c r="I87" s="1">
        <f>'Fama-French Data'!A87</f>
        <v>1.8800000000000001E-2</v>
      </c>
      <c r="J87" s="1">
        <f>'Fama-French Data'!B87</f>
        <v>-5.7000000000000002E-3</v>
      </c>
      <c r="K87" s="1">
        <f>'Fama-French Data'!C87</f>
        <v>1.41E-2</v>
      </c>
      <c r="L87">
        <f>'Fama-French Data'!F87</f>
        <v>3.4299999999999997E-2</v>
      </c>
      <c r="M87">
        <f t="shared" si="11"/>
        <v>1380.1548041075428</v>
      </c>
      <c r="N87">
        <f t="shared" si="12"/>
        <v>1063.032773746472</v>
      </c>
      <c r="O87">
        <f t="shared" si="13"/>
        <v>1387.5328634574421</v>
      </c>
    </row>
    <row r="88" spans="1:15" x14ac:dyDescent="0.25">
      <c r="A88" s="3">
        <v>38442</v>
      </c>
      <c r="B88" s="1">
        <v>-1.0038E-2</v>
      </c>
      <c r="C88" s="1">
        <v>-1.5698E-2</v>
      </c>
      <c r="D88" s="1">
        <v>-1.771E-2</v>
      </c>
      <c r="E88" s="1">
        <f>'Fama-French Data'!D88</f>
        <v>2.0999999999999999E-3</v>
      </c>
      <c r="F88">
        <f t="shared" si="8"/>
        <v>-1.2137999999999999E-2</v>
      </c>
      <c r="G88">
        <f t="shared" si="9"/>
        <v>-1.7798000000000001E-2</v>
      </c>
      <c r="H88">
        <f t="shared" si="10"/>
        <v>-1.9810000000000001E-2</v>
      </c>
      <c r="I88" s="1">
        <f>'Fama-French Data'!A88</f>
        <v>-1.9400000000000001E-2</v>
      </c>
      <c r="J88" s="1">
        <f>'Fama-French Data'!B88</f>
        <v>-1.41E-2</v>
      </c>
      <c r="K88" s="1">
        <f>'Fama-French Data'!C88</f>
        <v>2.07E-2</v>
      </c>
      <c r="L88">
        <f>'Fama-French Data'!F88</f>
        <v>4.3E-3</v>
      </c>
      <c r="M88">
        <f t="shared" si="11"/>
        <v>1366.3008101839112</v>
      </c>
      <c r="N88">
        <f t="shared" si="12"/>
        <v>1046.3452852641999</v>
      </c>
      <c r="O88">
        <f t="shared" si="13"/>
        <v>1362.9596564456108</v>
      </c>
    </row>
    <row r="89" spans="1:15" x14ac:dyDescent="0.25">
      <c r="A89" s="3">
        <v>38471</v>
      </c>
      <c r="B89" s="1">
        <v>-3.0651000000000001E-2</v>
      </c>
      <c r="C89" s="1">
        <v>-2.0083E-2</v>
      </c>
      <c r="D89" s="1">
        <v>-1.9368E-2</v>
      </c>
      <c r="E89" s="1">
        <f>'Fama-French Data'!D89</f>
        <v>2.0999999999999999E-3</v>
      </c>
      <c r="F89">
        <f t="shared" si="8"/>
        <v>-3.2751000000000002E-2</v>
      </c>
      <c r="G89">
        <f t="shared" si="9"/>
        <v>-2.2183000000000001E-2</v>
      </c>
      <c r="H89">
        <f t="shared" si="10"/>
        <v>-2.1468000000000001E-2</v>
      </c>
      <c r="I89" s="1">
        <f>'Fama-French Data'!A89</f>
        <v>-2.6100000000000002E-2</v>
      </c>
      <c r="J89" s="1">
        <f>'Fama-French Data'!B89</f>
        <v>-3.9300000000000002E-2</v>
      </c>
      <c r="K89" s="1">
        <f>'Fama-French Data'!C89</f>
        <v>5.0000000000000001E-4</v>
      </c>
      <c r="L89">
        <f>'Fama-French Data'!F89</f>
        <v>-6.7999999999999996E-3</v>
      </c>
      <c r="M89">
        <f t="shared" si="11"/>
        <v>1324.4223240509641</v>
      </c>
      <c r="N89">
        <f t="shared" si="12"/>
        <v>1025.3315329002389</v>
      </c>
      <c r="O89">
        <f t="shared" si="13"/>
        <v>1336.5618538195722</v>
      </c>
    </row>
    <row r="90" spans="1:15" x14ac:dyDescent="0.25">
      <c r="A90" s="3">
        <v>38503</v>
      </c>
      <c r="B90" s="1">
        <v>3.3202000000000002E-2</v>
      </c>
      <c r="C90" s="1">
        <v>5.1838000000000002E-2</v>
      </c>
      <c r="D90" s="1">
        <v>3.1343999999999997E-2</v>
      </c>
      <c r="E90" s="1">
        <f>'Fama-French Data'!D90</f>
        <v>2.3999999999999998E-3</v>
      </c>
      <c r="F90">
        <f t="shared" si="8"/>
        <v>3.0802000000000003E-2</v>
      </c>
      <c r="G90">
        <f t="shared" si="9"/>
        <v>4.9438000000000003E-2</v>
      </c>
      <c r="H90">
        <f t="shared" si="10"/>
        <v>2.8943999999999998E-2</v>
      </c>
      <c r="I90" s="1">
        <f>'Fama-French Data'!A90</f>
        <v>3.6499999999999998E-2</v>
      </c>
      <c r="J90" s="1">
        <f>'Fama-French Data'!B90</f>
        <v>2.86E-2</v>
      </c>
      <c r="K90" s="1">
        <f>'Fama-French Data'!C90</f>
        <v>-5.7999999999999996E-3</v>
      </c>
      <c r="L90">
        <f>'Fama-French Data'!F90</f>
        <v>3.7000000000000002E-3</v>
      </c>
      <c r="M90">
        <f t="shared" si="11"/>
        <v>1368.395794054104</v>
      </c>
      <c r="N90">
        <f t="shared" si="12"/>
        <v>1078.4826689027216</v>
      </c>
      <c r="O90">
        <f t="shared" si="13"/>
        <v>1378.455048565693</v>
      </c>
    </row>
    <row r="91" spans="1:15" x14ac:dyDescent="0.25">
      <c r="A91" s="3">
        <v>38533</v>
      </c>
      <c r="B91" s="1">
        <v>2.1996999999999999E-2</v>
      </c>
      <c r="C91" s="1">
        <v>-1.1460000000000001E-3</v>
      </c>
      <c r="D91" s="1">
        <v>1.5399999999999999E-3</v>
      </c>
      <c r="E91" s="1">
        <f>'Fama-French Data'!D91</f>
        <v>2.3E-3</v>
      </c>
      <c r="F91">
        <f t="shared" si="8"/>
        <v>1.9696999999999999E-2</v>
      </c>
      <c r="G91">
        <f t="shared" si="9"/>
        <v>-3.4460000000000003E-3</v>
      </c>
      <c r="H91">
        <f t="shared" si="10"/>
        <v>-7.6000000000000004E-4</v>
      </c>
      <c r="I91" s="1">
        <f>'Fama-French Data'!A91</f>
        <v>5.7999999999999996E-3</v>
      </c>
      <c r="J91" s="1">
        <f>'Fama-French Data'!B91</f>
        <v>2.5600000000000001E-2</v>
      </c>
      <c r="K91" s="1">
        <f>'Fama-French Data'!C91</f>
        <v>2.8000000000000001E-2</v>
      </c>
      <c r="L91">
        <f>'Fama-French Data'!F91</f>
        <v>2.07E-2</v>
      </c>
      <c r="M91">
        <f t="shared" si="11"/>
        <v>1398.4963963359123</v>
      </c>
      <c r="N91">
        <f t="shared" si="12"/>
        <v>1077.246727764159</v>
      </c>
      <c r="O91">
        <f t="shared" si="13"/>
        <v>1380.5778693404843</v>
      </c>
    </row>
    <row r="92" spans="1:15" x14ac:dyDescent="0.25">
      <c r="A92" s="3">
        <v>38562</v>
      </c>
      <c r="B92" s="1">
        <v>4.2729000000000003E-2</v>
      </c>
      <c r="C92" s="1">
        <v>4.7619000000000002E-2</v>
      </c>
      <c r="D92" s="1">
        <v>3.6713000000000003E-2</v>
      </c>
      <c r="E92" s="1">
        <f>'Fama-French Data'!D92</f>
        <v>2.3999999999999998E-3</v>
      </c>
      <c r="F92">
        <f t="shared" si="8"/>
        <v>4.0329000000000004E-2</v>
      </c>
      <c r="G92">
        <f t="shared" si="9"/>
        <v>4.5219000000000002E-2</v>
      </c>
      <c r="H92">
        <f t="shared" si="10"/>
        <v>3.4313000000000003E-2</v>
      </c>
      <c r="I92" s="1">
        <f>'Fama-French Data'!A92</f>
        <v>3.9199999999999999E-2</v>
      </c>
      <c r="J92" s="1">
        <f>'Fama-French Data'!B92</f>
        <v>2.87E-2</v>
      </c>
      <c r="K92" s="1">
        <f>'Fama-French Data'!C92</f>
        <v>-7.7999999999999996E-3</v>
      </c>
      <c r="L92">
        <f>'Fama-French Data'!F92</f>
        <v>2.9999999999999997E-4</v>
      </c>
      <c r="M92">
        <f t="shared" si="11"/>
        <v>1458.2527488549495</v>
      </c>
      <c r="N92">
        <f t="shared" si="12"/>
        <v>1128.5441396935605</v>
      </c>
      <c r="O92">
        <f t="shared" si="13"/>
        <v>1431.2630246575816</v>
      </c>
    </row>
    <row r="93" spans="1:15" x14ac:dyDescent="0.25">
      <c r="A93" s="3">
        <v>38595</v>
      </c>
      <c r="B93" s="1">
        <v>-7.1890000000000001E-3</v>
      </c>
      <c r="C93" s="1">
        <v>-2.3549E-2</v>
      </c>
      <c r="D93" s="1">
        <v>-9.6579999999999999E-3</v>
      </c>
      <c r="E93" s="1">
        <f>'Fama-French Data'!D93</f>
        <v>3.0000000000000001E-3</v>
      </c>
      <c r="F93">
        <f t="shared" si="8"/>
        <v>-1.0189E-2</v>
      </c>
      <c r="G93">
        <f t="shared" si="9"/>
        <v>-2.6549E-2</v>
      </c>
      <c r="H93">
        <f t="shared" si="10"/>
        <v>-1.2657999999999999E-2</v>
      </c>
      <c r="I93" s="1">
        <f>'Fama-French Data'!A93</f>
        <v>-1.2E-2</v>
      </c>
      <c r="J93" s="1">
        <f>'Fama-French Data'!B93</f>
        <v>-1.0699999999999999E-2</v>
      </c>
      <c r="K93" s="1">
        <f>'Fama-French Data'!C93</f>
        <v>1.34E-2</v>
      </c>
      <c r="L93">
        <f>'Fama-French Data'!F93</f>
        <v>2.07E-2</v>
      </c>
      <c r="M93">
        <f t="shared" si="11"/>
        <v>1447.7693698434312</v>
      </c>
      <c r="N93">
        <f t="shared" si="12"/>
        <v>1101.9680537479169</v>
      </c>
      <c r="O93">
        <f t="shared" si="13"/>
        <v>1417.4398863654387</v>
      </c>
    </row>
    <row r="94" spans="1:15" x14ac:dyDescent="0.25">
      <c r="A94" s="3">
        <v>38625</v>
      </c>
      <c r="B94" s="1">
        <v>-9.2320000000000006E-3</v>
      </c>
      <c r="C94" s="1">
        <v>7.8519999999999996E-3</v>
      </c>
      <c r="D94" s="1">
        <v>7.8989999999999998E-3</v>
      </c>
      <c r="E94" s="1">
        <f>'Fama-French Data'!D94</f>
        <v>2.8999999999999998E-3</v>
      </c>
      <c r="F94">
        <f t="shared" si="8"/>
        <v>-1.2132E-2</v>
      </c>
      <c r="G94">
        <f t="shared" si="9"/>
        <v>4.9519999999999998E-3</v>
      </c>
      <c r="H94">
        <f t="shared" si="10"/>
        <v>4.999E-3</v>
      </c>
      <c r="I94" s="1">
        <f>'Fama-French Data'!A94</f>
        <v>4.7999999999999996E-3</v>
      </c>
      <c r="J94" s="1">
        <f>'Fama-French Data'!B94</f>
        <v>-6.1999999999999998E-3</v>
      </c>
      <c r="K94" s="1">
        <f>'Fama-French Data'!C94</f>
        <v>7.7999999999999996E-3</v>
      </c>
      <c r="L94">
        <f>'Fama-French Data'!F94</f>
        <v>3.4599999999999999E-2</v>
      </c>
      <c r="M94">
        <f t="shared" si="11"/>
        <v>1434.4035630210365</v>
      </c>
      <c r="N94">
        <f t="shared" si="12"/>
        <v>1110.6207069059456</v>
      </c>
      <c r="O94">
        <f t="shared" si="13"/>
        <v>1428.6362440278394</v>
      </c>
    </row>
    <row r="95" spans="1:15" x14ac:dyDescent="0.25">
      <c r="A95" s="3">
        <v>38656</v>
      </c>
      <c r="B95" s="1">
        <v>-1.9019999999999999E-2</v>
      </c>
      <c r="C95" s="1">
        <v>-1.6689999999999999E-3</v>
      </c>
      <c r="D95" s="1">
        <v>-1.6586E-2</v>
      </c>
      <c r="E95" s="1">
        <f>'Fama-French Data'!D95</f>
        <v>2.7000000000000001E-3</v>
      </c>
      <c r="F95">
        <f t="shared" si="8"/>
        <v>-2.172E-2</v>
      </c>
      <c r="G95">
        <f t="shared" si="9"/>
        <v>-4.3689999999999996E-3</v>
      </c>
      <c r="H95">
        <f t="shared" si="10"/>
        <v>-1.9286000000000001E-2</v>
      </c>
      <c r="I95" s="1">
        <f>'Fama-French Data'!A95</f>
        <v>-2.0400000000000001E-2</v>
      </c>
      <c r="J95" s="1">
        <f>'Fama-French Data'!B95</f>
        <v>-1.2999999999999999E-2</v>
      </c>
      <c r="K95" s="1">
        <f>'Fama-French Data'!C95</f>
        <v>4.3E-3</v>
      </c>
      <c r="L95">
        <f>'Fama-French Data'!F95</f>
        <v>-1.1900000000000001E-2</v>
      </c>
      <c r="M95">
        <f t="shared" si="11"/>
        <v>1407.1212072523763</v>
      </c>
      <c r="N95">
        <f t="shared" si="12"/>
        <v>1108.7670809461194</v>
      </c>
      <c r="O95">
        <f t="shared" si="13"/>
        <v>1404.9408832843937</v>
      </c>
    </row>
    <row r="96" spans="1:15" x14ac:dyDescent="0.25">
      <c r="A96" s="3">
        <v>38686</v>
      </c>
      <c r="B96" s="1">
        <v>4.3250999999999998E-2</v>
      </c>
      <c r="C96" s="1">
        <v>3.7904E-2</v>
      </c>
      <c r="D96" s="1">
        <v>3.7433000000000001E-2</v>
      </c>
      <c r="E96" s="1">
        <f>'Fama-French Data'!D96</f>
        <v>3.0999999999999999E-3</v>
      </c>
      <c r="F96">
        <f t="shared" si="8"/>
        <v>4.0150999999999999E-2</v>
      </c>
      <c r="G96">
        <f t="shared" si="9"/>
        <v>3.4804000000000002E-2</v>
      </c>
      <c r="H96">
        <f t="shared" si="10"/>
        <v>3.4333000000000002E-2</v>
      </c>
      <c r="I96" s="1">
        <f>'Fama-French Data'!A96</f>
        <v>3.61E-2</v>
      </c>
      <c r="J96" s="1">
        <f>'Fama-French Data'!B96</f>
        <v>1.0500000000000001E-2</v>
      </c>
      <c r="K96" s="1">
        <f>'Fama-French Data'!C96</f>
        <v>-1.1900000000000001E-2</v>
      </c>
      <c r="L96">
        <f>'Fama-French Data'!F96</f>
        <v>3.3999999999999998E-3</v>
      </c>
      <c r="M96">
        <f t="shared" si="11"/>
        <v>1467.9806065872488</v>
      </c>
      <c r="N96">
        <f t="shared" si="12"/>
        <v>1150.793788382301</v>
      </c>
      <c r="O96">
        <f t="shared" si="13"/>
        <v>1457.5320353683785</v>
      </c>
    </row>
    <row r="97" spans="1:15" x14ac:dyDescent="0.25">
      <c r="A97" s="3">
        <v>38716</v>
      </c>
      <c r="B97" s="1">
        <v>3.7529999999999998E-3</v>
      </c>
      <c r="C97" s="1">
        <v>5.3709999999999999E-3</v>
      </c>
      <c r="D97" s="1">
        <v>3.1700000000000001E-4</v>
      </c>
      <c r="E97" s="1">
        <f>'Fama-French Data'!D97</f>
        <v>3.2000000000000002E-3</v>
      </c>
      <c r="F97">
        <f t="shared" si="8"/>
        <v>5.5299999999999967E-4</v>
      </c>
      <c r="G97">
        <f t="shared" si="9"/>
        <v>2.1709999999999998E-3</v>
      </c>
      <c r="H97">
        <f t="shared" si="10"/>
        <v>-2.8830000000000001E-3</v>
      </c>
      <c r="I97" s="1">
        <f>'Fama-French Data'!A97</f>
        <v>-2.3999999999999998E-3</v>
      </c>
      <c r="J97" s="1">
        <f>'Fama-French Data'!B97</f>
        <v>-4.4000000000000003E-3</v>
      </c>
      <c r="K97" s="1">
        <f>'Fama-French Data'!C97</f>
        <v>1.5E-3</v>
      </c>
      <c r="L97">
        <f>'Fama-French Data'!F97</f>
        <v>7.7999999999999996E-3</v>
      </c>
      <c r="M97">
        <f t="shared" si="11"/>
        <v>1473.4899378037705</v>
      </c>
      <c r="N97">
        <f t="shared" si="12"/>
        <v>1156.9747018197024</v>
      </c>
      <c r="O97">
        <f t="shared" si="13"/>
        <v>1457.9940730235901</v>
      </c>
    </row>
    <row r="98" spans="1:15" x14ac:dyDescent="0.25">
      <c r="A98" s="3">
        <v>38748</v>
      </c>
      <c r="B98" s="1">
        <v>4.2765999999999998E-2</v>
      </c>
      <c r="C98" s="1">
        <v>4.0598000000000002E-2</v>
      </c>
      <c r="D98" s="1">
        <v>2.6273999999999999E-2</v>
      </c>
      <c r="E98" s="1">
        <f>'Fama-French Data'!D98</f>
        <v>3.5000000000000001E-3</v>
      </c>
      <c r="F98">
        <f t="shared" si="8"/>
        <v>3.9265999999999995E-2</v>
      </c>
      <c r="G98">
        <f t="shared" si="9"/>
        <v>3.7097999999999999E-2</v>
      </c>
      <c r="H98">
        <f t="shared" si="10"/>
        <v>2.2773999999999999E-2</v>
      </c>
      <c r="I98" s="1">
        <f>'Fama-French Data'!A98</f>
        <v>3.0300000000000001E-2</v>
      </c>
      <c r="J98" s="1">
        <f>'Fama-French Data'!B98</f>
        <v>5.4600000000000003E-2</v>
      </c>
      <c r="K98" s="1">
        <f>'Fama-French Data'!C98</f>
        <v>9.9000000000000008E-3</v>
      </c>
      <c r="L98">
        <f>'Fama-French Data'!F98</f>
        <v>2.52E-2</v>
      </c>
      <c r="M98">
        <f t="shared" si="11"/>
        <v>1536.5052084838867</v>
      </c>
      <c r="N98">
        <f t="shared" si="12"/>
        <v>1203.9455607641787</v>
      </c>
      <c r="O98">
        <f t="shared" si="13"/>
        <v>1496.3014092982119</v>
      </c>
    </row>
    <row r="99" spans="1:15" x14ac:dyDescent="0.25">
      <c r="A99" s="3">
        <v>38776</v>
      </c>
      <c r="B99" s="1">
        <v>-6.1520000000000004E-3</v>
      </c>
      <c r="C99" s="1">
        <v>-4.62E-3</v>
      </c>
      <c r="D99" s="1">
        <v>2.3270000000000001E-3</v>
      </c>
      <c r="E99" s="1">
        <f>'Fama-French Data'!D99</f>
        <v>3.3999999999999998E-3</v>
      </c>
      <c r="F99">
        <f t="shared" si="8"/>
        <v>-9.5519999999999997E-3</v>
      </c>
      <c r="G99">
        <f t="shared" si="9"/>
        <v>-8.0199999999999994E-3</v>
      </c>
      <c r="H99">
        <f t="shared" si="10"/>
        <v>-1.0729999999999997E-3</v>
      </c>
      <c r="I99" s="1">
        <f>'Fama-French Data'!A99</f>
        <v>-3.0000000000000001E-3</v>
      </c>
      <c r="J99" s="1">
        <f>'Fama-French Data'!B99</f>
        <v>-4.1000000000000003E-3</v>
      </c>
      <c r="K99" s="1">
        <f>'Fama-French Data'!C99</f>
        <v>-3.0999999999999999E-3</v>
      </c>
      <c r="L99">
        <f>'Fama-French Data'!F99</f>
        <v>-1.78E-2</v>
      </c>
      <c r="M99">
        <f t="shared" si="11"/>
        <v>1527.0526284412938</v>
      </c>
      <c r="N99">
        <f t="shared" si="12"/>
        <v>1198.3833322734483</v>
      </c>
      <c r="O99">
        <f t="shared" si="13"/>
        <v>1499.7833026776489</v>
      </c>
    </row>
    <row r="100" spans="1:15" x14ac:dyDescent="0.25">
      <c r="A100" s="3">
        <v>38807</v>
      </c>
      <c r="B100" s="1">
        <v>2.1492000000000001E-2</v>
      </c>
      <c r="C100" s="1">
        <v>9.7990000000000004E-3</v>
      </c>
      <c r="D100" s="1">
        <v>1.2371999999999999E-2</v>
      </c>
      <c r="E100" s="1">
        <f>'Fama-French Data'!D100</f>
        <v>3.7000000000000002E-3</v>
      </c>
      <c r="F100">
        <f t="shared" si="8"/>
        <v>1.7792000000000002E-2</v>
      </c>
      <c r="G100">
        <f t="shared" si="9"/>
        <v>6.0990000000000003E-3</v>
      </c>
      <c r="H100">
        <f t="shared" si="10"/>
        <v>8.6719999999999992E-3</v>
      </c>
      <c r="I100" s="1">
        <f>'Fama-French Data'!A100</f>
        <v>1.47E-2</v>
      </c>
      <c r="J100" s="1">
        <f>'Fama-French Data'!B100</f>
        <v>3.39E-2</v>
      </c>
      <c r="K100" s="1">
        <f>'Fama-French Data'!C100</f>
        <v>6.1000000000000004E-3</v>
      </c>
      <c r="L100">
        <f>'Fama-French Data'!F100</f>
        <v>1.26E-2</v>
      </c>
      <c r="M100">
        <f t="shared" si="11"/>
        <v>1559.8720435317541</v>
      </c>
      <c r="N100">
        <f t="shared" si="12"/>
        <v>1210.1262905463957</v>
      </c>
      <c r="O100">
        <f t="shared" si="13"/>
        <v>1518.3386216983768</v>
      </c>
    </row>
    <row r="101" spans="1:15" x14ac:dyDescent="0.25">
      <c r="A101" s="3">
        <v>38835</v>
      </c>
      <c r="B101" s="1">
        <v>1.5499000000000001E-2</v>
      </c>
      <c r="C101" s="1">
        <v>2.4004000000000001E-2</v>
      </c>
      <c r="D101" s="1">
        <v>1.3047E-2</v>
      </c>
      <c r="E101" s="1">
        <f>'Fama-French Data'!D101</f>
        <v>3.5999999999999999E-3</v>
      </c>
      <c r="F101">
        <f t="shared" si="8"/>
        <v>1.1899E-2</v>
      </c>
      <c r="G101">
        <f t="shared" si="9"/>
        <v>2.0404000000000002E-2</v>
      </c>
      <c r="H101">
        <f t="shared" si="10"/>
        <v>9.4470000000000005E-3</v>
      </c>
      <c r="I101" s="1">
        <f>'Fama-French Data'!A101</f>
        <v>7.3000000000000001E-3</v>
      </c>
      <c r="J101" s="1">
        <f>'Fama-French Data'!B101</f>
        <v>-1.38E-2</v>
      </c>
      <c r="K101" s="1">
        <f>'Fama-French Data'!C101</f>
        <v>2.2599999999999999E-2</v>
      </c>
      <c r="L101">
        <f>'Fama-French Data'!F101</f>
        <v>6.0000000000000001E-3</v>
      </c>
      <c r="M101">
        <f t="shared" si="11"/>
        <v>1584.0485003344527</v>
      </c>
      <c r="N101">
        <f t="shared" si="12"/>
        <v>1239.1741620246712</v>
      </c>
      <c r="O101">
        <f t="shared" si="13"/>
        <v>1538.1483856956754</v>
      </c>
    </row>
    <row r="102" spans="1:15" x14ac:dyDescent="0.25">
      <c r="A102" s="3">
        <v>38868</v>
      </c>
      <c r="B102" s="1">
        <v>-4.0478E-2</v>
      </c>
      <c r="C102" s="1">
        <v>-4.4887999999999997E-2</v>
      </c>
      <c r="D102" s="1">
        <v>-2.9166999999999998E-2</v>
      </c>
      <c r="E102" s="1">
        <f>'Fama-French Data'!D102</f>
        <v>4.3E-3</v>
      </c>
      <c r="F102">
        <f t="shared" si="8"/>
        <v>-4.4777999999999998E-2</v>
      </c>
      <c r="G102">
        <f t="shared" si="9"/>
        <v>-4.9187999999999996E-2</v>
      </c>
      <c r="H102">
        <f t="shared" si="10"/>
        <v>-3.3466999999999997E-2</v>
      </c>
      <c r="I102" s="1">
        <f>'Fama-French Data'!A102</f>
        <v>-3.56E-2</v>
      </c>
      <c r="J102" s="1">
        <f>'Fama-French Data'!B102</f>
        <v>-3.0099999999999998E-2</v>
      </c>
      <c r="K102" s="1">
        <f>'Fama-French Data'!C102</f>
        <v>2.3800000000000002E-2</v>
      </c>
      <c r="L102">
        <f>'Fama-French Data'!F102</f>
        <v>-3.6600000000000001E-2</v>
      </c>
      <c r="M102">
        <f t="shared" si="11"/>
        <v>1519.9293851379148</v>
      </c>
      <c r="N102">
        <f t="shared" si="12"/>
        <v>1183.5501122397077</v>
      </c>
      <c r="O102">
        <f t="shared" si="13"/>
        <v>1493.2852117300897</v>
      </c>
    </row>
    <row r="103" spans="1:15" x14ac:dyDescent="0.25">
      <c r="A103" s="3">
        <v>38898</v>
      </c>
      <c r="B103" s="1">
        <v>-1.0201E-2</v>
      </c>
      <c r="C103" s="1">
        <v>-5.2220000000000001E-3</v>
      </c>
      <c r="D103" s="1">
        <v>1.1310000000000001E-3</v>
      </c>
      <c r="E103" s="1">
        <f>'Fama-French Data'!D103</f>
        <v>4.0000000000000001E-3</v>
      </c>
      <c r="F103">
        <f t="shared" si="8"/>
        <v>-1.4201E-2</v>
      </c>
      <c r="G103">
        <f t="shared" si="9"/>
        <v>-9.222000000000001E-3</v>
      </c>
      <c r="H103">
        <f t="shared" si="10"/>
        <v>-2.869E-3</v>
      </c>
      <c r="I103" s="1">
        <f>'Fama-French Data'!A103</f>
        <v>-3.5000000000000001E-3</v>
      </c>
      <c r="J103" s="1">
        <f>'Fama-French Data'!B103</f>
        <v>-3.5000000000000001E-3</v>
      </c>
      <c r="K103" s="1">
        <f>'Fama-French Data'!C103</f>
        <v>8.5000000000000006E-3</v>
      </c>
      <c r="L103">
        <f>'Fama-French Data'!F103</f>
        <v>1.55E-2</v>
      </c>
      <c r="M103">
        <f t="shared" si="11"/>
        <v>1504.4245854801229</v>
      </c>
      <c r="N103">
        <f t="shared" si="12"/>
        <v>1177.369613553592</v>
      </c>
      <c r="O103">
        <f t="shared" si="13"/>
        <v>1494.9741173045563</v>
      </c>
    </row>
    <row r="104" spans="1:15" x14ac:dyDescent="0.25">
      <c r="A104" s="3">
        <v>38929</v>
      </c>
      <c r="B104" s="1">
        <v>-9.0910000000000001E-3</v>
      </c>
      <c r="C104" s="1">
        <v>-1.6272999999999999E-2</v>
      </c>
      <c r="D104" s="1">
        <v>5.8710000000000004E-3</v>
      </c>
      <c r="E104" s="1">
        <f>'Fama-French Data'!D104</f>
        <v>4.0000000000000001E-3</v>
      </c>
      <c r="F104">
        <f t="shared" si="8"/>
        <v>-1.3091E-2</v>
      </c>
      <c r="G104">
        <f t="shared" si="9"/>
        <v>-2.0272999999999999E-2</v>
      </c>
      <c r="H104">
        <f t="shared" si="10"/>
        <v>1.8710000000000003E-3</v>
      </c>
      <c r="I104" s="1">
        <f>'Fama-French Data'!A104</f>
        <v>-7.7000000000000002E-3</v>
      </c>
      <c r="J104" s="1">
        <f>'Fama-French Data'!B104</f>
        <v>-3.95E-2</v>
      </c>
      <c r="K104" s="1">
        <f>'Fama-French Data'!C104</f>
        <v>2.6200000000000001E-2</v>
      </c>
      <c r="L104">
        <f>'Fama-French Data'!F104</f>
        <v>-2.0400000000000001E-2</v>
      </c>
      <c r="M104">
        <f t="shared" si="11"/>
        <v>1490.7478615735231</v>
      </c>
      <c r="N104">
        <f t="shared" si="12"/>
        <v>1158.2102778322344</v>
      </c>
      <c r="O104">
        <f t="shared" si="13"/>
        <v>1503.7511103472514</v>
      </c>
    </row>
    <row r="105" spans="1:15" x14ac:dyDescent="0.25">
      <c r="A105" s="3">
        <v>38960</v>
      </c>
      <c r="B105" s="1">
        <v>1.9054000000000001E-2</v>
      </c>
      <c r="C105" s="1">
        <v>2.7747999999999998E-2</v>
      </c>
      <c r="D105" s="1">
        <v>2.3734999999999999E-2</v>
      </c>
      <c r="E105" s="1">
        <f>'Fama-French Data'!D105</f>
        <v>4.1999999999999997E-3</v>
      </c>
      <c r="F105">
        <f t="shared" si="8"/>
        <v>1.4854000000000003E-2</v>
      </c>
      <c r="G105">
        <f t="shared" si="9"/>
        <v>2.3547999999999999E-2</v>
      </c>
      <c r="H105">
        <f t="shared" si="10"/>
        <v>1.9535E-2</v>
      </c>
      <c r="I105" s="1">
        <f>'Fama-French Data'!A105</f>
        <v>2.0299999999999999E-2</v>
      </c>
      <c r="J105" s="1">
        <f>'Fama-French Data'!B105</f>
        <v>9.9000000000000008E-3</v>
      </c>
      <c r="K105" s="1">
        <f>'Fama-French Data'!C105</f>
        <v>-1.95E-2</v>
      </c>
      <c r="L105">
        <f>'Fama-French Data'!F105</f>
        <v>-3.3599999999999998E-2</v>
      </c>
      <c r="M105">
        <f t="shared" si="11"/>
        <v>1519.1525713279448</v>
      </c>
      <c r="N105">
        <f t="shared" si="12"/>
        <v>1190.3482966215233</v>
      </c>
      <c r="O105">
        <f t="shared" si="13"/>
        <v>1539.4426429513435</v>
      </c>
    </row>
    <row r="106" spans="1:15" x14ac:dyDescent="0.25">
      <c r="A106" s="3">
        <v>38989</v>
      </c>
      <c r="B106" s="1">
        <v>2.0256E-2</v>
      </c>
      <c r="C106" s="1">
        <v>3.8421999999999998E-2</v>
      </c>
      <c r="D106" s="1">
        <v>2.5485000000000001E-2</v>
      </c>
      <c r="E106" s="1">
        <f>'Fama-French Data'!D106</f>
        <v>4.1000000000000003E-3</v>
      </c>
      <c r="F106">
        <f t="shared" si="8"/>
        <v>1.6156E-2</v>
      </c>
      <c r="G106">
        <f t="shared" si="9"/>
        <v>3.4321999999999998E-2</v>
      </c>
      <c r="H106">
        <f t="shared" si="10"/>
        <v>2.1385000000000001E-2</v>
      </c>
      <c r="I106" s="1">
        <f>'Fama-French Data'!A106</f>
        <v>1.84E-2</v>
      </c>
      <c r="J106" s="1">
        <f>'Fama-French Data'!B106</f>
        <v>-1.2999999999999999E-2</v>
      </c>
      <c r="K106" s="1">
        <f>'Fama-French Data'!C106</f>
        <v>5.9999999999999995E-4</v>
      </c>
      <c r="L106">
        <f>'Fama-French Data'!F106</f>
        <v>-9.7999999999999997E-3</v>
      </c>
      <c r="M106">
        <f t="shared" si="11"/>
        <v>1549.9245258127637</v>
      </c>
      <c r="N106">
        <f t="shared" si="12"/>
        <v>1236.0838588743154</v>
      </c>
      <c r="O106">
        <f t="shared" si="13"/>
        <v>1578.6753387069584</v>
      </c>
    </row>
    <row r="107" spans="1:15" x14ac:dyDescent="0.25">
      <c r="A107" s="3">
        <v>39021</v>
      </c>
      <c r="B107" s="1">
        <v>3.5346000000000002E-2</v>
      </c>
      <c r="C107" s="1">
        <v>3.0499999999999999E-2</v>
      </c>
      <c r="D107" s="1">
        <v>3.1621999999999997E-2</v>
      </c>
      <c r="E107" s="1">
        <f>'Fama-French Data'!D107</f>
        <v>4.1000000000000003E-3</v>
      </c>
      <c r="F107">
        <f t="shared" si="8"/>
        <v>3.1246000000000003E-2</v>
      </c>
      <c r="G107">
        <f t="shared" si="9"/>
        <v>2.64E-2</v>
      </c>
      <c r="H107">
        <f t="shared" si="10"/>
        <v>2.7521999999999998E-2</v>
      </c>
      <c r="I107" s="1">
        <f>'Fama-French Data'!A107</f>
        <v>3.2199999999999999E-2</v>
      </c>
      <c r="J107" s="1">
        <f>'Fama-French Data'!B107</f>
        <v>1.77E-2</v>
      </c>
      <c r="K107" s="1">
        <f>'Fama-French Data'!C107</f>
        <v>-3.3E-3</v>
      </c>
      <c r="L107">
        <f>'Fama-French Data'!F107</f>
        <v>-2.5000000000000001E-3</v>
      </c>
      <c r="M107">
        <f t="shared" si="11"/>
        <v>1604.7081581021419</v>
      </c>
      <c r="N107">
        <f t="shared" si="12"/>
        <v>1273.7844165699819</v>
      </c>
      <c r="O107">
        <f t="shared" si="13"/>
        <v>1628.5962102675498</v>
      </c>
    </row>
    <row r="108" spans="1:15" x14ac:dyDescent="0.25">
      <c r="A108" s="3">
        <v>39051</v>
      </c>
      <c r="B108" s="1">
        <v>2.6991000000000001E-2</v>
      </c>
      <c r="C108" s="1">
        <v>3.2994000000000002E-2</v>
      </c>
      <c r="D108" s="1">
        <v>1.8752000000000001E-2</v>
      </c>
      <c r="E108" s="1">
        <f>'Fama-French Data'!D108</f>
        <v>4.1999999999999997E-3</v>
      </c>
      <c r="F108">
        <f t="shared" si="8"/>
        <v>2.2791000000000002E-2</v>
      </c>
      <c r="G108">
        <f t="shared" si="9"/>
        <v>2.8794000000000004E-2</v>
      </c>
      <c r="H108">
        <f t="shared" si="10"/>
        <v>1.4552000000000002E-2</v>
      </c>
      <c r="I108" s="1">
        <f>'Fama-French Data'!A108</f>
        <v>1.7000000000000001E-2</v>
      </c>
      <c r="J108" s="1">
        <f>'Fama-French Data'!B108</f>
        <v>6.3E-3</v>
      </c>
      <c r="K108" s="1">
        <f>'Fama-French Data'!C108</f>
        <v>4.0000000000000002E-4</v>
      </c>
      <c r="L108">
        <f>'Fama-French Data'!F108</f>
        <v>-1.04E-2</v>
      </c>
      <c r="M108">
        <f t="shared" si="11"/>
        <v>1648.0208359974768</v>
      </c>
      <c r="N108">
        <f t="shared" si="12"/>
        <v>1315.8116596102918</v>
      </c>
      <c r="O108">
        <f t="shared" si="13"/>
        <v>1659.1356464024871</v>
      </c>
    </row>
    <row r="109" spans="1:15" x14ac:dyDescent="0.25">
      <c r="A109" s="3">
        <v>39080</v>
      </c>
      <c r="B109" s="1">
        <v>2.0840000000000001E-2</v>
      </c>
      <c r="C109" s="1">
        <v>2.8180000000000002E-3</v>
      </c>
      <c r="D109" s="1">
        <v>1.3650000000000001E-2</v>
      </c>
      <c r="E109" s="1">
        <f>'Fama-French Data'!D109</f>
        <v>4.0000000000000001E-3</v>
      </c>
      <c r="F109">
        <f t="shared" si="8"/>
        <v>1.6840000000000001E-2</v>
      </c>
      <c r="G109">
        <f t="shared" si="9"/>
        <v>-1.1819999999999999E-3</v>
      </c>
      <c r="H109">
        <f t="shared" si="10"/>
        <v>9.6500000000000006E-3</v>
      </c>
      <c r="I109" s="1">
        <f>'Fama-French Data'!A109</f>
        <v>8.5000000000000006E-3</v>
      </c>
      <c r="J109" s="1">
        <f>'Fama-French Data'!B109</f>
        <v>-1.1599999999999999E-2</v>
      </c>
      <c r="K109" s="1">
        <f>'Fama-French Data'!C109</f>
        <v>2.7400000000000001E-2</v>
      </c>
      <c r="L109">
        <f>'Fama-French Data'!F109</f>
        <v>7.9000000000000008E-3</v>
      </c>
      <c r="M109">
        <f t="shared" si="11"/>
        <v>1682.3655902196642</v>
      </c>
      <c r="N109">
        <f t="shared" si="12"/>
        <v>1319.5196168670736</v>
      </c>
      <c r="O109">
        <f t="shared" si="13"/>
        <v>1681.7828479758809</v>
      </c>
    </row>
    <row r="110" spans="1:15" x14ac:dyDescent="0.25">
      <c r="A110" s="3">
        <v>39113</v>
      </c>
      <c r="B110" s="1">
        <v>1.7187000000000001E-2</v>
      </c>
      <c r="C110" s="1">
        <v>2.8103E-2</v>
      </c>
      <c r="D110" s="1">
        <v>1.5082E-2</v>
      </c>
      <c r="E110" s="1">
        <f>'Fama-French Data'!D110</f>
        <v>4.4000000000000003E-3</v>
      </c>
      <c r="F110">
        <f t="shared" si="8"/>
        <v>1.2787E-2</v>
      </c>
      <c r="G110">
        <f t="shared" si="9"/>
        <v>2.3702999999999998E-2</v>
      </c>
      <c r="H110">
        <f t="shared" si="10"/>
        <v>1.0682000000000001E-2</v>
      </c>
      <c r="I110" s="1">
        <f>'Fama-French Data'!A110</f>
        <v>1.38E-2</v>
      </c>
      <c r="J110" s="1">
        <f>'Fama-French Data'!B110</f>
        <v>8.9999999999999998E-4</v>
      </c>
      <c r="K110" s="1">
        <f>'Fama-French Data'!C110</f>
        <v>-6.7999999999999996E-3</v>
      </c>
      <c r="L110">
        <f>'Fama-French Data'!F110</f>
        <v>1.6999999999999999E-3</v>
      </c>
      <c r="M110">
        <f t="shared" si="11"/>
        <v>1711.2804076187697</v>
      </c>
      <c r="N110">
        <f t="shared" si="12"/>
        <v>1356.602076659889</v>
      </c>
      <c r="O110">
        <f t="shared" si="13"/>
        <v>1707.1474968890532</v>
      </c>
    </row>
    <row r="111" spans="1:15" x14ac:dyDescent="0.25">
      <c r="A111" s="3">
        <v>39141</v>
      </c>
      <c r="B111" s="1">
        <v>-1.2515999999999999E-2</v>
      </c>
      <c r="C111" s="1">
        <v>-1.0023000000000001E-2</v>
      </c>
      <c r="D111" s="1">
        <v>-1.9696000000000002E-2</v>
      </c>
      <c r="E111" s="1">
        <f>'Fama-French Data'!D111</f>
        <v>3.8E-3</v>
      </c>
      <c r="F111">
        <f t="shared" si="8"/>
        <v>-1.6316000000000001E-2</v>
      </c>
      <c r="G111">
        <f t="shared" si="9"/>
        <v>-1.3823E-2</v>
      </c>
      <c r="H111">
        <f t="shared" si="10"/>
        <v>-2.3496000000000003E-2</v>
      </c>
      <c r="I111" s="1">
        <f>'Fama-French Data'!A111</f>
        <v>-1.9599999999999999E-2</v>
      </c>
      <c r="J111" s="1">
        <f>'Fama-French Data'!B111</f>
        <v>1.23E-2</v>
      </c>
      <c r="K111" s="1">
        <f>'Fama-French Data'!C111</f>
        <v>-8.0000000000000004E-4</v>
      </c>
      <c r="L111">
        <f>'Fama-French Data'!F111</f>
        <v>-1.29E-2</v>
      </c>
      <c r="M111">
        <f t="shared" si="11"/>
        <v>1689.8620220370133</v>
      </c>
      <c r="N111">
        <f t="shared" si="12"/>
        <v>1343.0048540455268</v>
      </c>
      <c r="O111">
        <f t="shared" si="13"/>
        <v>1673.5235197903262</v>
      </c>
    </row>
    <row r="112" spans="1:15" x14ac:dyDescent="0.25">
      <c r="A112" s="3">
        <v>39171</v>
      </c>
      <c r="B112" s="1">
        <v>1.8536E-2</v>
      </c>
      <c r="C112" s="1">
        <v>1.2885000000000001E-2</v>
      </c>
      <c r="D112" s="1">
        <v>1.0761E-2</v>
      </c>
      <c r="E112" s="1">
        <f>'Fama-French Data'!D112</f>
        <v>4.3E-3</v>
      </c>
      <c r="F112">
        <f t="shared" si="8"/>
        <v>1.4236E-2</v>
      </c>
      <c r="G112">
        <f t="shared" si="9"/>
        <v>8.5850000000000006E-3</v>
      </c>
      <c r="H112">
        <f t="shared" si="10"/>
        <v>6.4609999999999997E-3</v>
      </c>
      <c r="I112" s="1">
        <f>'Fama-French Data'!A112</f>
        <v>7.1000000000000004E-3</v>
      </c>
      <c r="J112" s="1">
        <f>'Fama-French Data'!B112</f>
        <v>8.9999999999999998E-4</v>
      </c>
      <c r="K112" s="1">
        <f>'Fama-French Data'!C112</f>
        <v>-8.8000000000000005E-3</v>
      </c>
      <c r="L112">
        <f>'Fama-French Data'!F112</f>
        <v>2.58E-2</v>
      </c>
      <c r="M112">
        <f t="shared" si="11"/>
        <v>1721.1853044774916</v>
      </c>
      <c r="N112">
        <f t="shared" si="12"/>
        <v>1360.3094715899035</v>
      </c>
      <c r="O112">
        <f t="shared" si="13"/>
        <v>1691.53230638679</v>
      </c>
    </row>
    <row r="113" spans="1:15" x14ac:dyDescent="0.25">
      <c r="A113" s="3">
        <v>39202</v>
      </c>
      <c r="B113" s="1">
        <v>3.9850999999999998E-2</v>
      </c>
      <c r="C113" s="1">
        <v>4.2254E-2</v>
      </c>
      <c r="D113" s="1">
        <v>4.4132999999999999E-2</v>
      </c>
      <c r="E113" s="1">
        <f>'Fama-French Data'!D113</f>
        <v>4.4000000000000003E-3</v>
      </c>
      <c r="F113">
        <f t="shared" si="8"/>
        <v>3.5450999999999996E-2</v>
      </c>
      <c r="G113">
        <f t="shared" si="9"/>
        <v>3.7853999999999999E-2</v>
      </c>
      <c r="H113">
        <f t="shared" si="10"/>
        <v>3.9732999999999997E-2</v>
      </c>
      <c r="I113" s="1">
        <f>'Fama-French Data'!A113</f>
        <v>3.49E-2</v>
      </c>
      <c r="J113" s="1">
        <f>'Fama-French Data'!B113</f>
        <v>-2.2100000000000002E-2</v>
      </c>
      <c r="K113" s="1">
        <f>'Fama-French Data'!C113</f>
        <v>-1.44E-2</v>
      </c>
      <c r="L113">
        <f>'Fama-French Data'!F113</f>
        <v>-1.6000000000000001E-3</v>
      </c>
      <c r="M113">
        <f t="shared" si="11"/>
        <v>1789.7762600462243</v>
      </c>
      <c r="N113">
        <f t="shared" si="12"/>
        <v>1417.7879880024634</v>
      </c>
      <c r="O113">
        <f t="shared" si="13"/>
        <v>1766.1847016645581</v>
      </c>
    </row>
    <row r="114" spans="1:15" x14ac:dyDescent="0.25">
      <c r="A114" s="3">
        <v>39233</v>
      </c>
      <c r="B114" s="1">
        <v>4.1916000000000002E-2</v>
      </c>
      <c r="C114" s="1">
        <v>3.9669000000000003E-2</v>
      </c>
      <c r="D114" s="1">
        <v>3.4551999999999999E-2</v>
      </c>
      <c r="E114" s="1">
        <f>'Fama-French Data'!D114</f>
        <v>4.1000000000000003E-3</v>
      </c>
      <c r="F114">
        <f t="shared" si="8"/>
        <v>3.7816000000000002E-2</v>
      </c>
      <c r="G114">
        <f t="shared" si="9"/>
        <v>3.5569000000000003E-2</v>
      </c>
      <c r="H114">
        <f t="shared" si="10"/>
        <v>3.0452E-2</v>
      </c>
      <c r="I114" s="1">
        <f>'Fama-French Data'!A114</f>
        <v>3.2300000000000002E-2</v>
      </c>
      <c r="J114" s="1">
        <f>'Fama-French Data'!B114</f>
        <v>1.6000000000000001E-3</v>
      </c>
      <c r="K114" s="1">
        <f>'Fama-French Data'!C114</f>
        <v>-5.8999999999999999E-3</v>
      </c>
      <c r="L114">
        <f>'Fama-French Data'!F114</f>
        <v>-3.3E-3</v>
      </c>
      <c r="M114">
        <f t="shared" si="11"/>
        <v>1864.7965217623218</v>
      </c>
      <c r="N114">
        <f t="shared" si="12"/>
        <v>1474.0302196985331</v>
      </c>
      <c r="O114">
        <f t="shared" si="13"/>
        <v>1827.2099154764719</v>
      </c>
    </row>
    <row r="115" spans="1:15" x14ac:dyDescent="0.25">
      <c r="A115" s="3">
        <v>39262</v>
      </c>
      <c r="B115" s="1">
        <v>-1.4138E-2</v>
      </c>
      <c r="C115" s="1">
        <v>-1.1320999999999999E-2</v>
      </c>
      <c r="D115" s="1">
        <v>-1.6633999999999999E-2</v>
      </c>
      <c r="E115" s="1">
        <f>'Fama-French Data'!D115</f>
        <v>4.0000000000000001E-3</v>
      </c>
      <c r="F115">
        <f t="shared" si="8"/>
        <v>-1.8138000000000001E-2</v>
      </c>
      <c r="G115">
        <f t="shared" si="9"/>
        <v>-1.5321E-2</v>
      </c>
      <c r="H115">
        <f t="shared" si="10"/>
        <v>-2.0634E-2</v>
      </c>
      <c r="I115" s="1">
        <f>'Fama-French Data'!A115</f>
        <v>-1.9599999999999999E-2</v>
      </c>
      <c r="J115" s="1">
        <f>'Fama-French Data'!B115</f>
        <v>7.3000000000000001E-3</v>
      </c>
      <c r="K115" s="1">
        <f>'Fama-French Data'!C115</f>
        <v>-1.0500000000000001E-2</v>
      </c>
      <c r="L115">
        <f>'Fama-French Data'!F115</f>
        <v>5.1999999999999998E-3</v>
      </c>
      <c r="M115">
        <f t="shared" si="11"/>
        <v>1838.4320285376461</v>
      </c>
      <c r="N115">
        <f t="shared" si="12"/>
        <v>1457.342723581326</v>
      </c>
      <c r="O115">
        <f t="shared" si="13"/>
        <v>1796.8161057424361</v>
      </c>
    </row>
    <row r="116" spans="1:15" x14ac:dyDescent="0.25">
      <c r="A116" s="3">
        <v>39294</v>
      </c>
      <c r="B116" s="1">
        <v>-4.3756999999999997E-2</v>
      </c>
      <c r="C116" s="1">
        <v>-4.6649999999999999E-3</v>
      </c>
      <c r="D116" s="1">
        <v>-3.1116000000000001E-2</v>
      </c>
      <c r="E116" s="1">
        <f>'Fama-French Data'!D116</f>
        <v>4.0000000000000001E-3</v>
      </c>
      <c r="F116">
        <f t="shared" si="8"/>
        <v>-4.7756999999999994E-2</v>
      </c>
      <c r="G116">
        <f t="shared" si="9"/>
        <v>-8.6649999999999991E-3</v>
      </c>
      <c r="H116">
        <f t="shared" si="10"/>
        <v>-3.5116000000000001E-2</v>
      </c>
      <c r="I116" s="1">
        <f>'Fama-French Data'!A116</f>
        <v>-3.7199999999999997E-2</v>
      </c>
      <c r="J116" s="1">
        <f>'Fama-French Data'!B116</f>
        <v>-2.6599999999999999E-2</v>
      </c>
      <c r="K116" s="1">
        <f>'Fama-French Data'!C116</f>
        <v>-3.6799999999999999E-2</v>
      </c>
      <c r="L116">
        <f>'Fama-French Data'!F116</f>
        <v>2.8400000000000002E-2</v>
      </c>
      <c r="M116">
        <f t="shared" si="11"/>
        <v>1757.9877582649242</v>
      </c>
      <c r="N116">
        <f t="shared" si="12"/>
        <v>1450.5442197758191</v>
      </c>
      <c r="O116">
        <f t="shared" si="13"/>
        <v>1740.9063757961544</v>
      </c>
    </row>
    <row r="117" spans="1:15" x14ac:dyDescent="0.25">
      <c r="A117" s="3">
        <v>39325</v>
      </c>
      <c r="B117" s="1">
        <v>7.9319999999999998E-3</v>
      </c>
      <c r="C117" s="1">
        <v>1.193E-2</v>
      </c>
      <c r="D117" s="1">
        <v>1.4690999999999999E-2</v>
      </c>
      <c r="E117" s="1">
        <f>'Fama-French Data'!D117</f>
        <v>4.1999999999999997E-3</v>
      </c>
      <c r="F117">
        <f t="shared" si="8"/>
        <v>3.7320000000000001E-3</v>
      </c>
      <c r="G117">
        <f t="shared" si="9"/>
        <v>7.7299999999999999E-3</v>
      </c>
      <c r="H117">
        <f t="shared" si="10"/>
        <v>1.0491E-2</v>
      </c>
      <c r="I117" s="1">
        <f>'Fama-French Data'!A117</f>
        <v>9.4000000000000004E-3</v>
      </c>
      <c r="J117" s="1">
        <f>'Fama-French Data'!B117</f>
        <v>-1.1000000000000001E-3</v>
      </c>
      <c r="K117" s="1">
        <f>'Fama-French Data'!C117</f>
        <v>-1.8700000000000001E-2</v>
      </c>
      <c r="L117">
        <f>'Fama-French Data'!F117</f>
        <v>-2.9999999999999997E-4</v>
      </c>
      <c r="M117">
        <f t="shared" si="11"/>
        <v>1771.9321171634817</v>
      </c>
      <c r="N117">
        <f t="shared" si="12"/>
        <v>1467.8492123177446</v>
      </c>
      <c r="O117">
        <f t="shared" si="13"/>
        <v>1766.4820313629757</v>
      </c>
    </row>
    <row r="118" spans="1:15" x14ac:dyDescent="0.25">
      <c r="A118" s="3">
        <v>39353</v>
      </c>
      <c r="B118" s="1">
        <v>2.1453E-2</v>
      </c>
      <c r="C118" s="1">
        <v>5.6841999999999997E-2</v>
      </c>
      <c r="D118" s="1">
        <v>3.6990000000000002E-2</v>
      </c>
      <c r="E118" s="1">
        <f>'Fama-French Data'!D118</f>
        <v>3.2000000000000002E-3</v>
      </c>
      <c r="F118">
        <f t="shared" si="8"/>
        <v>1.8252999999999998E-2</v>
      </c>
      <c r="G118">
        <f t="shared" si="9"/>
        <v>5.3641999999999995E-2</v>
      </c>
      <c r="H118">
        <f t="shared" si="10"/>
        <v>3.3790000000000001E-2</v>
      </c>
      <c r="I118" s="1">
        <f>'Fama-French Data'!A118</f>
        <v>3.2199999999999999E-2</v>
      </c>
      <c r="J118" s="1">
        <f>'Fama-French Data'!B118</f>
        <v>-2.2499999999999999E-2</v>
      </c>
      <c r="K118" s="1">
        <f>'Fama-French Data'!C118</f>
        <v>-2.1700000000000001E-2</v>
      </c>
      <c r="L118">
        <f>'Fama-French Data'!F118</f>
        <v>4.4299999999999999E-2</v>
      </c>
      <c r="M118">
        <f t="shared" si="11"/>
        <v>1809.9453768729898</v>
      </c>
      <c r="N118">
        <f t="shared" si="12"/>
        <v>1551.2846972443099</v>
      </c>
      <c r="O118">
        <f t="shared" si="13"/>
        <v>1831.8242017030923</v>
      </c>
    </row>
    <row r="119" spans="1:15" x14ac:dyDescent="0.25">
      <c r="A119" s="3">
        <v>39386</v>
      </c>
      <c r="B119" s="1">
        <v>1.5421000000000001E-2</v>
      </c>
      <c r="C119" s="1">
        <v>4.3027999999999997E-2</v>
      </c>
      <c r="D119" s="1">
        <v>1.4992999999999999E-2</v>
      </c>
      <c r="E119" s="1">
        <f>'Fama-French Data'!D119</f>
        <v>3.2000000000000002E-3</v>
      </c>
      <c r="F119">
        <f t="shared" si="8"/>
        <v>1.2221000000000001E-2</v>
      </c>
      <c r="G119">
        <f t="shared" si="9"/>
        <v>3.9827999999999995E-2</v>
      </c>
      <c r="H119">
        <f t="shared" si="10"/>
        <v>1.1793E-2</v>
      </c>
      <c r="I119" s="1">
        <f>'Fama-French Data'!A119</f>
        <v>1.7899999999999999E-2</v>
      </c>
      <c r="J119" s="1">
        <f>'Fama-French Data'!B119</f>
        <v>1.9E-3</v>
      </c>
      <c r="K119" s="1">
        <f>'Fama-French Data'!C119</f>
        <v>-2.87E-2</v>
      </c>
      <c r="L119">
        <f>'Fama-French Data'!F119</f>
        <v>5.0299999999999997E-2</v>
      </c>
      <c r="M119">
        <f t="shared" si="11"/>
        <v>1837.8565445297479</v>
      </c>
      <c r="N119">
        <f t="shared" si="12"/>
        <v>1618.033375197338</v>
      </c>
      <c r="O119">
        <f t="shared" si="13"/>
        <v>1859.2887419592269</v>
      </c>
    </row>
    <row r="120" spans="1:15" x14ac:dyDescent="0.25">
      <c r="A120" s="3">
        <v>39416</v>
      </c>
      <c r="B120" s="1">
        <v>-5.1402000000000003E-2</v>
      </c>
      <c r="C120" s="1">
        <v>-4.4691000000000002E-2</v>
      </c>
      <c r="D120" s="1">
        <v>-4.2068000000000001E-2</v>
      </c>
      <c r="E120" s="1">
        <f>'Fama-French Data'!D120</f>
        <v>3.3999999999999998E-3</v>
      </c>
      <c r="F120">
        <f t="shared" si="8"/>
        <v>-5.4802000000000003E-2</v>
      </c>
      <c r="G120">
        <f t="shared" si="9"/>
        <v>-4.8091000000000002E-2</v>
      </c>
      <c r="H120">
        <f t="shared" si="10"/>
        <v>-4.5468000000000001E-2</v>
      </c>
      <c r="I120" s="1">
        <f>'Fama-French Data'!A120</f>
        <v>-4.8000000000000001E-2</v>
      </c>
      <c r="J120" s="1">
        <f>'Fama-French Data'!B120</f>
        <v>-2.81E-2</v>
      </c>
      <c r="K120" s="1">
        <f>'Fama-French Data'!C120</f>
        <v>-1.09E-2</v>
      </c>
      <c r="L120">
        <f>'Fama-French Data'!F120</f>
        <v>1.12E-2</v>
      </c>
      <c r="M120">
        <f t="shared" si="11"/>
        <v>1743.38704242783</v>
      </c>
      <c r="N120">
        <f t="shared" si="12"/>
        <v>1545.7218456263938</v>
      </c>
      <c r="O120">
        <f t="shared" si="13"/>
        <v>1781.072183162486</v>
      </c>
    </row>
    <row r="121" spans="1:15" x14ac:dyDescent="0.25">
      <c r="A121" s="3">
        <v>39447</v>
      </c>
      <c r="B121" s="1">
        <v>-1.1547E-2</v>
      </c>
      <c r="C121" s="1">
        <v>5.5979999999999997E-3</v>
      </c>
      <c r="D121" s="1">
        <v>-7.5560000000000002E-3</v>
      </c>
      <c r="E121" s="1">
        <f>'Fama-French Data'!D121</f>
        <v>2.7000000000000001E-3</v>
      </c>
      <c r="F121">
        <f t="shared" si="8"/>
        <v>-1.4246999999999999E-2</v>
      </c>
      <c r="G121">
        <f t="shared" si="9"/>
        <v>2.8979999999999995E-3</v>
      </c>
      <c r="H121">
        <f t="shared" si="10"/>
        <v>-1.0256000000000001E-2</v>
      </c>
      <c r="I121" s="1">
        <f>'Fama-French Data'!A121</f>
        <v>-8.6999999999999994E-3</v>
      </c>
      <c r="J121" s="1">
        <f>'Fama-French Data'!B121</f>
        <v>1.1000000000000001E-3</v>
      </c>
      <c r="K121" s="1">
        <f>'Fama-French Data'!C121</f>
        <v>-5.1000000000000004E-3</v>
      </c>
      <c r="L121">
        <f>'Fama-French Data'!F121</f>
        <v>6.5600000000000006E-2</v>
      </c>
      <c r="M121">
        <f t="shared" si="11"/>
        <v>1723.2561522489159</v>
      </c>
      <c r="N121">
        <f t="shared" si="12"/>
        <v>1554.3747965182104</v>
      </c>
      <c r="O121">
        <f t="shared" si="13"/>
        <v>1767.6144017465103</v>
      </c>
    </row>
    <row r="122" spans="1:15" x14ac:dyDescent="0.25">
      <c r="A122" s="3">
        <v>39478</v>
      </c>
      <c r="B122" s="1">
        <v>-6.0203E-2</v>
      </c>
      <c r="C122" s="1">
        <v>-7.3955999999999994E-2</v>
      </c>
      <c r="D122" s="1">
        <v>-5.9700999999999997E-2</v>
      </c>
      <c r="E122" s="1">
        <f>'Fama-French Data'!D122</f>
        <v>2.0999999999999999E-3</v>
      </c>
      <c r="F122">
        <f t="shared" si="8"/>
        <v>-6.2302999999999997E-2</v>
      </c>
      <c r="G122">
        <f t="shared" si="9"/>
        <v>-7.6055999999999999E-2</v>
      </c>
      <c r="H122">
        <f t="shared" si="10"/>
        <v>-6.1800999999999995E-2</v>
      </c>
      <c r="I122" s="1">
        <f>'Fama-French Data'!A122</f>
        <v>-6.3299999999999995E-2</v>
      </c>
      <c r="J122" s="1">
        <f>'Fama-French Data'!B122</f>
        <v>-1.0200000000000001E-2</v>
      </c>
      <c r="K122" s="1">
        <f>'Fama-French Data'!C122</f>
        <v>0.04</v>
      </c>
      <c r="L122">
        <f>'Fama-French Data'!F122</f>
        <v>-7.7399999999999997E-2</v>
      </c>
      <c r="M122">
        <f t="shared" si="11"/>
        <v>1619.5109621150743</v>
      </c>
      <c r="N122">
        <f t="shared" si="12"/>
        <v>1439.4194540669096</v>
      </c>
      <c r="O122">
        <f t="shared" si="13"/>
        <v>1662.0860543478418</v>
      </c>
    </row>
    <row r="123" spans="1:15" x14ac:dyDescent="0.25">
      <c r="A123" s="3">
        <v>39507</v>
      </c>
      <c r="B123" s="1">
        <v>-2.4948999999999999E-2</v>
      </c>
      <c r="C123" s="1">
        <v>-3.3491E-2</v>
      </c>
      <c r="D123" s="1">
        <v>-3.2828000000000003E-2</v>
      </c>
      <c r="E123" s="1">
        <f>'Fama-French Data'!D123</f>
        <v>1.2999999999999999E-3</v>
      </c>
      <c r="F123">
        <f t="shared" si="8"/>
        <v>-2.6248999999999998E-2</v>
      </c>
      <c r="G123">
        <f t="shared" si="9"/>
        <v>-3.4791000000000002E-2</v>
      </c>
      <c r="H123">
        <f t="shared" si="10"/>
        <v>-3.4128000000000006E-2</v>
      </c>
      <c r="I123" s="1">
        <f>'Fama-French Data'!A123</f>
        <v>-3.09E-2</v>
      </c>
      <c r="J123" s="1">
        <f>'Fama-French Data'!B123</f>
        <v>-4.7999999999999996E-3</v>
      </c>
      <c r="K123" s="1">
        <f>'Fama-French Data'!C123</f>
        <v>-7.1999999999999998E-3</v>
      </c>
      <c r="L123">
        <f>'Fama-French Data'!F123</f>
        <v>6.13E-2</v>
      </c>
      <c r="M123">
        <f t="shared" si="11"/>
        <v>1579.1057831212654</v>
      </c>
      <c r="N123">
        <f t="shared" si="12"/>
        <v>1391.2118571307547</v>
      </c>
      <c r="O123">
        <f t="shared" si="13"/>
        <v>1607.5230933557109</v>
      </c>
    </row>
    <row r="124" spans="1:15" x14ac:dyDescent="0.25">
      <c r="A124" s="3">
        <v>39538</v>
      </c>
      <c r="B124" s="1">
        <v>-7.0889999999999998E-3</v>
      </c>
      <c r="C124" s="1">
        <v>-2.0879999999999999E-2</v>
      </c>
      <c r="D124" s="1">
        <v>-4.4799999999999996E-3</v>
      </c>
      <c r="E124" s="1">
        <f>'Fama-French Data'!D124</f>
        <v>1.6999999999999999E-3</v>
      </c>
      <c r="F124">
        <f t="shared" si="8"/>
        <v>-8.7889999999999999E-3</v>
      </c>
      <c r="G124">
        <f t="shared" si="9"/>
        <v>-2.2579999999999999E-2</v>
      </c>
      <c r="H124">
        <f t="shared" si="10"/>
        <v>-6.1799999999999997E-3</v>
      </c>
      <c r="I124" s="1">
        <f>'Fama-French Data'!A124</f>
        <v>-9.4000000000000004E-3</v>
      </c>
      <c r="J124" s="1">
        <f>'Fama-French Data'!B124</f>
        <v>7.1000000000000004E-3</v>
      </c>
      <c r="K124" s="1">
        <f>'Fama-French Data'!C124</f>
        <v>3.0999999999999999E-3</v>
      </c>
      <c r="L124">
        <f>'Fama-French Data'!F124</f>
        <v>4.2500000000000003E-2</v>
      </c>
      <c r="M124">
        <f t="shared" si="11"/>
        <v>1567.9115022247188</v>
      </c>
      <c r="N124">
        <f t="shared" si="12"/>
        <v>1362.1633535538645</v>
      </c>
      <c r="O124">
        <f t="shared" si="13"/>
        <v>1600.3213898974773</v>
      </c>
    </row>
    <row r="125" spans="1:15" x14ac:dyDescent="0.25">
      <c r="A125" s="3">
        <v>39568</v>
      </c>
      <c r="B125" s="1">
        <v>4.3933E-2</v>
      </c>
      <c r="C125" s="1">
        <v>8.7113999999999997E-2</v>
      </c>
      <c r="D125" s="1">
        <v>4.8175000000000003E-2</v>
      </c>
      <c r="E125" s="1">
        <f>'Fama-French Data'!D125</f>
        <v>1.8E-3</v>
      </c>
      <c r="F125">
        <f t="shared" si="8"/>
        <v>4.2132999999999997E-2</v>
      </c>
      <c r="G125">
        <f t="shared" si="9"/>
        <v>8.5314000000000001E-2</v>
      </c>
      <c r="H125">
        <f t="shared" si="10"/>
        <v>4.6375E-2</v>
      </c>
      <c r="I125" s="1">
        <f>'Fama-French Data'!A125</f>
        <v>4.6100000000000002E-2</v>
      </c>
      <c r="J125" s="1">
        <f>'Fama-French Data'!B125</f>
        <v>-1.6899999999999998E-2</v>
      </c>
      <c r="K125" s="1">
        <f>'Fama-French Data'!C125</f>
        <v>-9.5999999999999992E-3</v>
      </c>
      <c r="L125">
        <f>'Fama-French Data'!F125</f>
        <v>-3.3E-3</v>
      </c>
      <c r="M125">
        <f t="shared" si="11"/>
        <v>1636.7945582519574</v>
      </c>
      <c r="N125">
        <f t="shared" si="12"/>
        <v>1480.8268519353558</v>
      </c>
      <c r="O125">
        <f t="shared" si="13"/>
        <v>1677.4168728557884</v>
      </c>
    </row>
    <row r="126" spans="1:15" x14ac:dyDescent="0.25">
      <c r="A126" s="3">
        <v>39598</v>
      </c>
      <c r="B126" s="1">
        <v>2.9392000000000001E-2</v>
      </c>
      <c r="C126" s="1">
        <v>3.6311000000000003E-2</v>
      </c>
      <c r="D126" s="1">
        <v>1.2926E-2</v>
      </c>
      <c r="E126" s="1">
        <f>'Fama-French Data'!D126</f>
        <v>1.8E-3</v>
      </c>
      <c r="F126">
        <f t="shared" si="8"/>
        <v>2.7592000000000002E-2</v>
      </c>
      <c r="G126">
        <f t="shared" si="9"/>
        <v>3.4511E-2</v>
      </c>
      <c r="H126">
        <f t="shared" si="10"/>
        <v>1.1126E-2</v>
      </c>
      <c r="I126" s="1">
        <f>'Fama-French Data'!A126</f>
        <v>1.8700000000000001E-2</v>
      </c>
      <c r="J126" s="1">
        <f>'Fama-French Data'!B126</f>
        <v>2.9700000000000001E-2</v>
      </c>
      <c r="K126" s="1">
        <f>'Fama-French Data'!C126</f>
        <v>-1.4999999999999999E-2</v>
      </c>
      <c r="L126">
        <f>'Fama-French Data'!F126</f>
        <v>3.39E-2</v>
      </c>
      <c r="M126">
        <f t="shared" si="11"/>
        <v>1684.9032239080991</v>
      </c>
      <c r="N126">
        <f t="shared" si="12"/>
        <v>1534.5971557559803</v>
      </c>
      <c r="O126">
        <f t="shared" si="13"/>
        <v>1699.0991633543222</v>
      </c>
    </row>
    <row r="127" spans="1:15" x14ac:dyDescent="0.25">
      <c r="A127" s="3">
        <v>39629</v>
      </c>
      <c r="B127" s="1">
        <v>-0.101233</v>
      </c>
      <c r="C127" s="1">
        <v>-6.5645999999999996E-2</v>
      </c>
      <c r="D127" s="1">
        <v>-8.4389000000000006E-2</v>
      </c>
      <c r="E127" s="1">
        <f>'Fama-French Data'!D127</f>
        <v>1.6999999999999999E-3</v>
      </c>
      <c r="F127">
        <f t="shared" si="8"/>
        <v>-0.102933</v>
      </c>
      <c r="G127">
        <f t="shared" si="9"/>
        <v>-6.7345999999999989E-2</v>
      </c>
      <c r="H127">
        <f t="shared" si="10"/>
        <v>-8.6088999999999999E-2</v>
      </c>
      <c r="I127" s="1">
        <f>'Fama-French Data'!A127</f>
        <v>-8.43E-2</v>
      </c>
      <c r="J127" s="1">
        <f>'Fama-French Data'!B127</f>
        <v>1.15E-2</v>
      </c>
      <c r="K127" s="1">
        <f>'Fama-French Data'!C127</f>
        <v>-2.5100000000000001E-2</v>
      </c>
      <c r="L127">
        <f>'Fama-French Data'!F127</f>
        <v>0.12709999999999999</v>
      </c>
      <c r="M127">
        <f t="shared" si="11"/>
        <v>1514.3354158422105</v>
      </c>
      <c r="N127">
        <f t="shared" si="12"/>
        <v>1433.8569908692232</v>
      </c>
      <c r="O127">
        <f t="shared" si="13"/>
        <v>1555.7138840580142</v>
      </c>
    </row>
    <row r="128" spans="1:15" x14ac:dyDescent="0.25">
      <c r="A128" s="3">
        <v>39660</v>
      </c>
      <c r="B128" s="1">
        <v>1.2292000000000001E-2</v>
      </c>
      <c r="C128" s="1">
        <v>-3.3620999999999998E-2</v>
      </c>
      <c r="D128" s="1">
        <v>-7.0010000000000003E-3</v>
      </c>
      <c r="E128" s="1">
        <f>'Fama-French Data'!D128</f>
        <v>1.5E-3</v>
      </c>
      <c r="F128">
        <f t="shared" si="8"/>
        <v>1.0792000000000001E-2</v>
      </c>
      <c r="G128">
        <f t="shared" si="9"/>
        <v>-3.5120999999999999E-2</v>
      </c>
      <c r="H128">
        <f t="shared" si="10"/>
        <v>-8.5009999999999999E-3</v>
      </c>
      <c r="I128" s="1">
        <f>'Fama-French Data'!A128</f>
        <v>-7.4999999999999997E-3</v>
      </c>
      <c r="J128" s="1">
        <f>'Fama-French Data'!B128</f>
        <v>2.5999999999999999E-2</v>
      </c>
      <c r="K128" s="1">
        <f>'Fama-French Data'!C128</f>
        <v>5.1999999999999998E-2</v>
      </c>
      <c r="L128">
        <f>'Fama-French Data'!F128</f>
        <v>-5.0200000000000002E-2</v>
      </c>
      <c r="M128">
        <f t="shared" si="11"/>
        <v>1532.9496267737429</v>
      </c>
      <c r="N128">
        <f t="shared" si="12"/>
        <v>1385.6492849792089</v>
      </c>
      <c r="O128">
        <f t="shared" si="13"/>
        <v>1544.822331155724</v>
      </c>
    </row>
    <row r="129" spans="1:15" x14ac:dyDescent="0.25">
      <c r="A129" s="3">
        <v>39689</v>
      </c>
      <c r="B129" s="1">
        <v>3.1428999999999999E-2</v>
      </c>
      <c r="C129" s="1">
        <v>1.4272999999999999E-2</v>
      </c>
      <c r="D129" s="1">
        <v>1.4884E-2</v>
      </c>
      <c r="E129" s="1">
        <f>'Fama-French Data'!D129</f>
        <v>1.2999999999999999E-3</v>
      </c>
      <c r="F129">
        <f t="shared" si="8"/>
        <v>3.0129E-2</v>
      </c>
      <c r="G129">
        <f t="shared" si="9"/>
        <v>1.2972999999999998E-2</v>
      </c>
      <c r="H129">
        <f t="shared" si="10"/>
        <v>1.3583999999999999E-2</v>
      </c>
      <c r="I129" s="1">
        <f>'Fama-French Data'!A129</f>
        <v>1.5299999999999999E-2</v>
      </c>
      <c r="J129" s="1">
        <f>'Fama-French Data'!B129</f>
        <v>3.4000000000000002E-2</v>
      </c>
      <c r="K129" s="1">
        <f>'Fama-French Data'!C129</f>
        <v>1.52E-2</v>
      </c>
      <c r="L129">
        <f>'Fama-French Data'!F129</f>
        <v>-4.48E-2</v>
      </c>
      <c r="M129">
        <f t="shared" si="11"/>
        <v>1581.1287005936147</v>
      </c>
      <c r="N129">
        <f t="shared" si="12"/>
        <v>1405.426657223717</v>
      </c>
      <c r="O129">
        <f t="shared" si="13"/>
        <v>1567.8154667326455</v>
      </c>
    </row>
    <row r="130" spans="1:15" x14ac:dyDescent="0.25">
      <c r="A130" s="3">
        <v>39721</v>
      </c>
      <c r="B130" s="1">
        <v>-9.8337999999999995E-2</v>
      </c>
      <c r="C130" s="1">
        <v>-0.13280600000000001</v>
      </c>
      <c r="D130" s="1">
        <v>-8.7495000000000003E-2</v>
      </c>
      <c r="E130" s="1">
        <f>'Fama-French Data'!D130</f>
        <v>1.5E-3</v>
      </c>
      <c r="F130">
        <f t="shared" ref="F130:F193" si="14">B130-$E130</f>
        <v>-9.9837999999999996E-2</v>
      </c>
      <c r="G130">
        <f t="shared" ref="G130:G193" si="15">C130-$E130</f>
        <v>-0.13430600000000001</v>
      </c>
      <c r="H130">
        <f t="shared" ref="H130:H193" si="16">D130-$E130</f>
        <v>-8.8995000000000005E-2</v>
      </c>
      <c r="I130" s="1">
        <f>'Fama-French Data'!A130</f>
        <v>-9.35E-2</v>
      </c>
      <c r="J130" s="1">
        <f>'Fama-French Data'!B130</f>
        <v>-1.0699999999999999E-2</v>
      </c>
      <c r="K130" s="1">
        <f>'Fama-French Data'!C130</f>
        <v>5.6599999999999998E-2</v>
      </c>
      <c r="L130">
        <f>'Fama-French Data'!F130</f>
        <v>8.6E-3</v>
      </c>
      <c r="M130">
        <f t="shared" si="11"/>
        <v>1425.6436664346397</v>
      </c>
      <c r="N130">
        <f t="shared" si="12"/>
        <v>1218.777564584464</v>
      </c>
      <c r="O130">
        <f t="shared" si="13"/>
        <v>1430.6394524708728</v>
      </c>
    </row>
    <row r="131" spans="1:15" x14ac:dyDescent="0.25">
      <c r="A131" s="3">
        <v>39752</v>
      </c>
      <c r="B131" s="1">
        <v>-0.18692300000000001</v>
      </c>
      <c r="C131" s="1">
        <v>-0.14502999999999999</v>
      </c>
      <c r="D131" s="1">
        <v>-0.16666700000000001</v>
      </c>
      <c r="E131" s="1">
        <f>'Fama-French Data'!D131</f>
        <v>8.0000000000000004E-4</v>
      </c>
      <c r="F131">
        <f t="shared" si="14"/>
        <v>-0.187723</v>
      </c>
      <c r="G131">
        <f t="shared" si="15"/>
        <v>-0.14582999999999999</v>
      </c>
      <c r="H131">
        <f t="shared" si="16"/>
        <v>-0.167467</v>
      </c>
      <c r="I131" s="1">
        <f>'Fama-French Data'!A131</f>
        <v>-0.17199999999999999</v>
      </c>
      <c r="J131" s="1">
        <f>'Fama-French Data'!B131</f>
        <v>-2.3099999999999999E-2</v>
      </c>
      <c r="K131" s="1">
        <f>'Fama-French Data'!C131</f>
        <v>-1.89E-2</v>
      </c>
      <c r="L131">
        <f>'Fama-French Data'!F131</f>
        <v>7.8700000000000006E-2</v>
      </c>
      <c r="M131">
        <f t="shared" si="11"/>
        <v>1159.1580753736775</v>
      </c>
      <c r="N131">
        <f t="shared" si="12"/>
        <v>1042.0182543927792</v>
      </c>
      <c r="O131">
        <f t="shared" si="13"/>
        <v>1192.1990668459098</v>
      </c>
    </row>
    <row r="132" spans="1:15" x14ac:dyDescent="0.25">
      <c r="A132" s="3">
        <v>39780</v>
      </c>
      <c r="B132" s="1">
        <v>-7.6632000000000006E-2</v>
      </c>
      <c r="C132" s="1">
        <v>-8.1850999999999993E-2</v>
      </c>
      <c r="D132" s="1">
        <v>-7.0407999999999998E-2</v>
      </c>
      <c r="E132" s="1">
        <f>'Fama-French Data'!D132</f>
        <v>2.9999999999999997E-4</v>
      </c>
      <c r="F132">
        <f t="shared" si="14"/>
        <v>-7.6932E-2</v>
      </c>
      <c r="G132">
        <f t="shared" si="15"/>
        <v>-8.2150999999999988E-2</v>
      </c>
      <c r="H132">
        <f t="shared" si="16"/>
        <v>-7.0707999999999993E-2</v>
      </c>
      <c r="I132" s="1">
        <f>'Fama-French Data'!A132</f>
        <v>-7.7399999999999997E-2</v>
      </c>
      <c r="J132" s="1">
        <f>'Fama-French Data'!B132</f>
        <v>-3.0099999999999998E-2</v>
      </c>
      <c r="K132" s="1">
        <f>'Fama-French Data'!C132</f>
        <v>-6.2100000000000002E-2</v>
      </c>
      <c r="L132">
        <f>'Fama-French Data'!F132</f>
        <v>7.2800000000000004E-2</v>
      </c>
      <c r="M132">
        <f t="shared" ref="M132:M195" si="17">M131*(B132+1)</f>
        <v>1070.3294737416418</v>
      </c>
      <c r="N132">
        <f t="shared" ref="N132:N195" si="18">N131*(C132+1)</f>
        <v>956.72801825247586</v>
      </c>
      <c r="O132">
        <f t="shared" ref="O132:O195" si="19">O131*(D132+1)</f>
        <v>1108.258714947423</v>
      </c>
    </row>
    <row r="133" spans="1:15" x14ac:dyDescent="0.25">
      <c r="A133" s="3">
        <v>39813</v>
      </c>
      <c r="B133" s="1">
        <v>3.2683999999999998E-2</v>
      </c>
      <c r="C133" s="1">
        <v>1.1627999999999999E-2</v>
      </c>
      <c r="D133" s="1">
        <v>1.2366E-2</v>
      </c>
      <c r="E133" s="1">
        <f>'Fama-French Data'!D133</f>
        <v>0</v>
      </c>
      <c r="F133">
        <f t="shared" si="14"/>
        <v>3.2683999999999998E-2</v>
      </c>
      <c r="G133">
        <f t="shared" si="15"/>
        <v>1.1627999999999999E-2</v>
      </c>
      <c r="H133">
        <f t="shared" si="16"/>
        <v>1.2366E-2</v>
      </c>
      <c r="I133" s="1">
        <f>'Fama-French Data'!A133</f>
        <v>1.77E-2</v>
      </c>
      <c r="J133" s="1">
        <f>'Fama-French Data'!B133</f>
        <v>3.5200000000000002E-2</v>
      </c>
      <c r="K133" s="1">
        <f>'Fama-French Data'!C133</f>
        <v>5.0000000000000001E-4</v>
      </c>
      <c r="L133">
        <f>'Fama-French Data'!F133</f>
        <v>-5.0900000000000001E-2</v>
      </c>
      <c r="M133">
        <f t="shared" si="17"/>
        <v>1105.3121222614136</v>
      </c>
      <c r="N133">
        <f t="shared" si="18"/>
        <v>967.85285164871561</v>
      </c>
      <c r="O133">
        <f t="shared" si="19"/>
        <v>1121.9634422164629</v>
      </c>
    </row>
    <row r="134" spans="1:15" x14ac:dyDescent="0.25">
      <c r="A134" s="3">
        <v>39843</v>
      </c>
      <c r="B134" s="1">
        <v>-6.4385999999999999E-2</v>
      </c>
      <c r="C134" s="1">
        <v>-2.4265999999999999E-2</v>
      </c>
      <c r="D134" s="1">
        <v>-8.2923999999999998E-2</v>
      </c>
      <c r="E134" s="1">
        <f>'Fama-French Data'!D134</f>
        <v>0</v>
      </c>
      <c r="F134">
        <f t="shared" si="14"/>
        <v>-6.4385999999999999E-2</v>
      </c>
      <c r="G134">
        <f t="shared" si="15"/>
        <v>-2.4265999999999999E-2</v>
      </c>
      <c r="H134">
        <f t="shared" si="16"/>
        <v>-8.2923999999999998E-2</v>
      </c>
      <c r="I134" s="1">
        <f>'Fama-French Data'!A134</f>
        <v>-8.09E-2</v>
      </c>
      <c r="J134" s="1">
        <f>'Fama-French Data'!B134</f>
        <v>4.0000000000000002E-4</v>
      </c>
      <c r="K134" s="1">
        <f>'Fama-French Data'!C134</f>
        <v>-0.11020000000000001</v>
      </c>
      <c r="L134">
        <f>'Fama-French Data'!F134</f>
        <v>-2.3599999999999999E-2</v>
      </c>
      <c r="M134">
        <f t="shared" si="17"/>
        <v>1034.1454959574901</v>
      </c>
      <c r="N134">
        <f t="shared" si="18"/>
        <v>944.36693435060783</v>
      </c>
      <c r="O134">
        <f t="shared" si="19"/>
        <v>1028.925745734105</v>
      </c>
    </row>
    <row r="135" spans="1:15" x14ac:dyDescent="0.25">
      <c r="A135" s="3">
        <v>39871</v>
      </c>
      <c r="B135" s="1">
        <v>-0.105376</v>
      </c>
      <c r="C135" s="1">
        <v>-8.9660000000000004E-2</v>
      </c>
      <c r="D135" s="1">
        <v>-0.105294</v>
      </c>
      <c r="E135" s="1">
        <f>'Fama-French Data'!D135</f>
        <v>1E-4</v>
      </c>
      <c r="F135">
        <f t="shared" si="14"/>
        <v>-0.105476</v>
      </c>
      <c r="G135">
        <f t="shared" si="15"/>
        <v>-8.9760000000000006E-2</v>
      </c>
      <c r="H135">
        <f t="shared" si="16"/>
        <v>-0.105394</v>
      </c>
      <c r="I135" s="1">
        <f>'Fama-French Data'!A135</f>
        <v>-0.1014</v>
      </c>
      <c r="J135" s="1">
        <f>'Fama-French Data'!B135</f>
        <v>1.4E-3</v>
      </c>
      <c r="K135" s="1">
        <f>'Fama-French Data'!C135</f>
        <v>-6.6000000000000003E-2</v>
      </c>
      <c r="L135">
        <f>'Fama-French Data'!F135</f>
        <v>4.36E-2</v>
      </c>
      <c r="M135">
        <f t="shared" si="17"/>
        <v>925.17138017547359</v>
      </c>
      <c r="N135">
        <f t="shared" si="18"/>
        <v>859.69499501673238</v>
      </c>
      <c r="O135">
        <f t="shared" si="19"/>
        <v>920.58603826277817</v>
      </c>
    </row>
    <row r="136" spans="1:15" x14ac:dyDescent="0.25">
      <c r="A136" s="3">
        <v>39903</v>
      </c>
      <c r="B136" s="1">
        <v>7.3316999999999993E-2</v>
      </c>
      <c r="C136" s="1">
        <v>9.0581999999999996E-2</v>
      </c>
      <c r="D136" s="1">
        <v>8.7346999999999994E-2</v>
      </c>
      <c r="E136" s="1">
        <f>'Fama-French Data'!D136</f>
        <v>2.0000000000000001E-4</v>
      </c>
      <c r="F136">
        <f t="shared" si="14"/>
        <v>7.3116999999999988E-2</v>
      </c>
      <c r="G136">
        <f t="shared" si="15"/>
        <v>9.038199999999999E-2</v>
      </c>
      <c r="H136">
        <f t="shared" si="16"/>
        <v>8.7146999999999988E-2</v>
      </c>
      <c r="I136" s="1">
        <f>'Fama-French Data'!A136</f>
        <v>9.01E-2</v>
      </c>
      <c r="J136" s="1">
        <f>'Fama-French Data'!B136</f>
        <v>-1E-3</v>
      </c>
      <c r="K136" s="1">
        <f>'Fama-French Data'!C136</f>
        <v>3.4799999999999998E-2</v>
      </c>
      <c r="L136">
        <f>'Fama-French Data'!F136</f>
        <v>-0.1183</v>
      </c>
      <c r="M136">
        <f t="shared" si="17"/>
        <v>993.00217025579889</v>
      </c>
      <c r="N136">
        <f t="shared" si="18"/>
        <v>937.56788705533802</v>
      </c>
      <c r="O136">
        <f t="shared" si="19"/>
        <v>1000.9964669469172</v>
      </c>
    </row>
    <row r="137" spans="1:15" x14ac:dyDescent="0.25">
      <c r="A137" s="3">
        <v>39933</v>
      </c>
      <c r="B137" s="1">
        <v>0.103024</v>
      </c>
      <c r="C137" s="1">
        <v>7.5148000000000006E-2</v>
      </c>
      <c r="D137" s="1">
        <v>9.4154000000000002E-2</v>
      </c>
      <c r="E137" s="1">
        <f>'Fama-French Data'!D137</f>
        <v>1E-4</v>
      </c>
      <c r="F137">
        <f t="shared" si="14"/>
        <v>0.102924</v>
      </c>
      <c r="G137">
        <f t="shared" si="15"/>
        <v>7.5048000000000004E-2</v>
      </c>
      <c r="H137">
        <f t="shared" si="16"/>
        <v>9.4053999999999999E-2</v>
      </c>
      <c r="I137" s="1">
        <f>'Fama-French Data'!A137</f>
        <v>0.1017</v>
      </c>
      <c r="J137" s="1">
        <f>'Fama-French Data'!B137</f>
        <v>5.3999999999999999E-2</v>
      </c>
      <c r="K137" s="1">
        <f>'Fama-French Data'!C137</f>
        <v>5.3800000000000001E-2</v>
      </c>
      <c r="L137">
        <f>'Fama-French Data'!F137</f>
        <v>-0.34339999999999998</v>
      </c>
      <c r="M137">
        <f t="shared" si="17"/>
        <v>1095.3052258442324</v>
      </c>
      <c r="N137">
        <f t="shared" si="18"/>
        <v>1008.0242386317725</v>
      </c>
      <c r="O137">
        <f t="shared" si="19"/>
        <v>1095.2442882958374</v>
      </c>
    </row>
    <row r="138" spans="1:15" x14ac:dyDescent="0.25">
      <c r="A138" s="3">
        <v>39962</v>
      </c>
      <c r="B138" s="1">
        <v>5.6853000000000001E-2</v>
      </c>
      <c r="C138" s="1">
        <v>5.2727999999999997E-2</v>
      </c>
      <c r="D138" s="1">
        <v>5.5118E-2</v>
      </c>
      <c r="E138" s="1">
        <f>'Fama-French Data'!D138</f>
        <v>0</v>
      </c>
      <c r="F138">
        <f t="shared" si="14"/>
        <v>5.6853000000000001E-2</v>
      </c>
      <c r="G138">
        <f t="shared" si="15"/>
        <v>5.2727999999999997E-2</v>
      </c>
      <c r="H138">
        <f t="shared" si="16"/>
        <v>5.5118E-2</v>
      </c>
      <c r="I138" s="1">
        <f>'Fama-French Data'!A138</f>
        <v>5.21E-2</v>
      </c>
      <c r="J138" s="1">
        <f>'Fama-French Data'!B138</f>
        <v>-2.41E-2</v>
      </c>
      <c r="K138" s="1">
        <f>'Fama-French Data'!C138</f>
        <v>4.1000000000000003E-3</v>
      </c>
      <c r="L138">
        <f>'Fama-French Data'!F138</f>
        <v>-0.12529999999999999</v>
      </c>
      <c r="M138">
        <f t="shared" si="17"/>
        <v>1157.5766138491547</v>
      </c>
      <c r="N138">
        <f t="shared" si="18"/>
        <v>1061.1753406863488</v>
      </c>
      <c r="O138">
        <f t="shared" si="19"/>
        <v>1155.6119629781274</v>
      </c>
    </row>
    <row r="139" spans="1:15" x14ac:dyDescent="0.25">
      <c r="A139" s="3">
        <v>39994</v>
      </c>
      <c r="B139" s="1">
        <v>2.7859999999999998E-3</v>
      </c>
      <c r="C139" s="1">
        <v>1.3978000000000001E-2</v>
      </c>
      <c r="D139" s="1">
        <v>2.4250000000000001E-3</v>
      </c>
      <c r="E139" s="1">
        <f>'Fama-French Data'!D139</f>
        <v>1E-4</v>
      </c>
      <c r="F139">
        <f t="shared" si="14"/>
        <v>2.686E-3</v>
      </c>
      <c r="G139">
        <f t="shared" si="15"/>
        <v>1.3878000000000001E-2</v>
      </c>
      <c r="H139">
        <f t="shared" si="16"/>
        <v>2.3250000000000002E-3</v>
      </c>
      <c r="I139" s="1">
        <f>'Fama-French Data'!A139</f>
        <v>4.1999999999999997E-3</v>
      </c>
      <c r="J139" s="1">
        <f>'Fama-French Data'!B139</f>
        <v>2.58E-2</v>
      </c>
      <c r="K139" s="1">
        <f>'Fama-French Data'!C139</f>
        <v>-2.76E-2</v>
      </c>
      <c r="L139">
        <f>'Fama-French Data'!F139</f>
        <v>5.45E-2</v>
      </c>
      <c r="M139">
        <f t="shared" si="17"/>
        <v>1160.8016222953383</v>
      </c>
      <c r="N139">
        <f t="shared" si="18"/>
        <v>1076.0084495984627</v>
      </c>
      <c r="O139">
        <f t="shared" si="19"/>
        <v>1158.4143219883492</v>
      </c>
    </row>
    <row r="140" spans="1:15" x14ac:dyDescent="0.25">
      <c r="A140" s="3">
        <v>40025</v>
      </c>
      <c r="B140" s="1">
        <v>6.6155000000000005E-2</v>
      </c>
      <c r="C140" s="1">
        <v>7.2946999999999998E-2</v>
      </c>
      <c r="D140" s="1">
        <v>7.4786000000000005E-2</v>
      </c>
      <c r="E140" s="1">
        <f>'Fama-French Data'!D140</f>
        <v>1E-4</v>
      </c>
      <c r="F140">
        <f t="shared" si="14"/>
        <v>6.6055000000000003E-2</v>
      </c>
      <c r="G140">
        <f t="shared" si="15"/>
        <v>7.2846999999999995E-2</v>
      </c>
      <c r="H140">
        <f t="shared" si="16"/>
        <v>7.4686000000000002E-2</v>
      </c>
      <c r="I140" s="1">
        <f>'Fama-French Data'!A140</f>
        <v>7.7399999999999997E-2</v>
      </c>
      <c r="J140" s="1">
        <f>'Fama-French Data'!B140</f>
        <v>1.7500000000000002E-2</v>
      </c>
      <c r="K140" s="1">
        <f>'Fama-French Data'!C140</f>
        <v>4.8899999999999999E-2</v>
      </c>
      <c r="L140">
        <f>'Fama-French Data'!F140</f>
        <v>-5.5399999999999998E-2</v>
      </c>
      <c r="M140">
        <f t="shared" si="17"/>
        <v>1237.5944536182865</v>
      </c>
      <c r="N140">
        <f t="shared" si="18"/>
        <v>1154.5000379713219</v>
      </c>
      <c r="O140">
        <f t="shared" si="19"/>
        <v>1245.0474954725698</v>
      </c>
    </row>
    <row r="141" spans="1:15" x14ac:dyDescent="0.25">
      <c r="A141" s="3">
        <v>40056</v>
      </c>
      <c r="B141" s="1">
        <v>2.9676000000000001E-2</v>
      </c>
      <c r="C141" s="1">
        <v>1.0170999999999999E-2</v>
      </c>
      <c r="D141" s="1">
        <v>3.4293999999999998E-2</v>
      </c>
      <c r="E141" s="1">
        <f>'Fama-French Data'!D141</f>
        <v>1E-4</v>
      </c>
      <c r="F141">
        <f t="shared" si="14"/>
        <v>2.9576000000000002E-2</v>
      </c>
      <c r="G141">
        <f t="shared" si="15"/>
        <v>1.0071E-2</v>
      </c>
      <c r="H141">
        <f t="shared" si="16"/>
        <v>3.4193999999999995E-2</v>
      </c>
      <c r="I141" s="1">
        <f>'Fama-French Data'!A141</f>
        <v>3.3300000000000003E-2</v>
      </c>
      <c r="J141" s="1">
        <f>'Fama-French Data'!B141</f>
        <v>-1.12E-2</v>
      </c>
      <c r="K141" s="1">
        <f>'Fama-French Data'!C141</f>
        <v>7.5999999999999998E-2</v>
      </c>
      <c r="L141">
        <f>'Fama-French Data'!F141</f>
        <v>-9.0999999999999998E-2</v>
      </c>
      <c r="M141">
        <f t="shared" si="17"/>
        <v>1274.3213066238627</v>
      </c>
      <c r="N141">
        <f t="shared" si="18"/>
        <v>1166.2424578575283</v>
      </c>
      <c r="O141">
        <f t="shared" si="19"/>
        <v>1287.7451542823062</v>
      </c>
    </row>
    <row r="142" spans="1:15" x14ac:dyDescent="0.25">
      <c r="A142" s="3">
        <v>40086</v>
      </c>
      <c r="B142" s="1">
        <v>4.1223000000000003E-2</v>
      </c>
      <c r="C142" s="1">
        <v>2.8087000000000001E-2</v>
      </c>
      <c r="D142" s="1">
        <v>3.5666000000000003E-2</v>
      </c>
      <c r="E142" s="1">
        <f>'Fama-French Data'!D142</f>
        <v>1E-4</v>
      </c>
      <c r="F142">
        <f t="shared" si="14"/>
        <v>4.1123E-2</v>
      </c>
      <c r="G142">
        <f t="shared" si="15"/>
        <v>2.7987000000000001E-2</v>
      </c>
      <c r="H142">
        <f t="shared" si="16"/>
        <v>3.5566E-2</v>
      </c>
      <c r="I142" s="1">
        <f>'Fama-French Data'!A142</f>
        <v>4.0800000000000003E-2</v>
      </c>
      <c r="J142" s="1">
        <f>'Fama-French Data'!B142</f>
        <v>2.4299999999999999E-2</v>
      </c>
      <c r="K142" s="1">
        <f>'Fama-French Data'!C142</f>
        <v>1.15E-2</v>
      </c>
      <c r="L142">
        <f>'Fama-French Data'!F142</f>
        <v>-4.87E-2</v>
      </c>
      <c r="M142">
        <f t="shared" si="17"/>
        <v>1326.8526538468182</v>
      </c>
      <c r="N142">
        <f t="shared" si="18"/>
        <v>1198.9987097713727</v>
      </c>
      <c r="O142">
        <f t="shared" si="19"/>
        <v>1333.6738729549388</v>
      </c>
    </row>
    <row r="143" spans="1:15" x14ac:dyDescent="0.25">
      <c r="A143" s="3">
        <v>40116</v>
      </c>
      <c r="B143" s="1">
        <v>-1.5952999999999998E-2</v>
      </c>
      <c r="C143" s="1">
        <v>-1.7010000000000001E-2</v>
      </c>
      <c r="D143" s="1">
        <v>-1.6768000000000002E-2</v>
      </c>
      <c r="E143" s="1">
        <f>'Fama-French Data'!D143</f>
        <v>0</v>
      </c>
      <c r="F143">
        <f t="shared" si="14"/>
        <v>-1.5952999999999998E-2</v>
      </c>
      <c r="G143">
        <f t="shared" si="15"/>
        <v>-1.7010000000000001E-2</v>
      </c>
      <c r="H143">
        <f t="shared" si="16"/>
        <v>-1.6768000000000002E-2</v>
      </c>
      <c r="I143" s="1">
        <f>'Fama-French Data'!A143</f>
        <v>-2.53E-2</v>
      </c>
      <c r="J143" s="1">
        <f>'Fama-French Data'!B143</f>
        <v>-4.2599999999999999E-2</v>
      </c>
      <c r="K143" s="1">
        <f>'Fama-French Data'!C143</f>
        <v>-4.1700000000000001E-2</v>
      </c>
      <c r="L143">
        <f>'Fama-French Data'!F143</f>
        <v>2.4899999999999999E-2</v>
      </c>
      <c r="M143">
        <f t="shared" si="17"/>
        <v>1305.6853734599999</v>
      </c>
      <c r="N143">
        <f t="shared" si="18"/>
        <v>1178.6037417181617</v>
      </c>
      <c r="O143">
        <f t="shared" si="19"/>
        <v>1311.3108294532303</v>
      </c>
    </row>
    <row r="144" spans="1:15" x14ac:dyDescent="0.25">
      <c r="A144" s="3">
        <v>40147</v>
      </c>
      <c r="B144" s="1">
        <v>4.6074999999999998E-2</v>
      </c>
      <c r="C144" s="1">
        <v>5.7681999999999997E-2</v>
      </c>
      <c r="D144" s="1">
        <v>5.9214000000000003E-2</v>
      </c>
      <c r="E144" s="1">
        <f>'Fama-French Data'!D144</f>
        <v>0</v>
      </c>
      <c r="F144">
        <f t="shared" si="14"/>
        <v>4.6074999999999998E-2</v>
      </c>
      <c r="G144">
        <f t="shared" si="15"/>
        <v>5.7681999999999997E-2</v>
      </c>
      <c r="H144">
        <f t="shared" si="16"/>
        <v>5.9214000000000003E-2</v>
      </c>
      <c r="I144" s="1">
        <f>'Fama-French Data'!A144</f>
        <v>5.6300000000000003E-2</v>
      </c>
      <c r="J144" s="1">
        <f>'Fama-French Data'!B144</f>
        <v>-2.5000000000000001E-2</v>
      </c>
      <c r="K144" s="1">
        <f>'Fama-French Data'!C144</f>
        <v>-3.3E-3</v>
      </c>
      <c r="L144">
        <f>'Fama-French Data'!F144</f>
        <v>3.8999999999999998E-3</v>
      </c>
      <c r="M144">
        <f t="shared" si="17"/>
        <v>1365.8448270421695</v>
      </c>
      <c r="N144">
        <f t="shared" si="18"/>
        <v>1246.5879627479487</v>
      </c>
      <c r="O144">
        <f t="shared" si="19"/>
        <v>1388.9587889084739</v>
      </c>
    </row>
    <row r="145" spans="1:15" x14ac:dyDescent="0.25">
      <c r="A145" s="3">
        <v>40178</v>
      </c>
      <c r="B145" s="1">
        <v>3.1158000000000002E-2</v>
      </c>
      <c r="C145" s="1">
        <v>2.6773000000000002E-2</v>
      </c>
      <c r="D145" s="1">
        <v>1.9605999999999998E-2</v>
      </c>
      <c r="E145" s="1">
        <f>'Fama-French Data'!D145</f>
        <v>1E-4</v>
      </c>
      <c r="F145">
        <f t="shared" si="14"/>
        <v>3.1058000000000002E-2</v>
      </c>
      <c r="G145">
        <f t="shared" si="15"/>
        <v>2.6673000000000002E-2</v>
      </c>
      <c r="H145">
        <f t="shared" si="16"/>
        <v>1.9505999999999999E-2</v>
      </c>
      <c r="I145" s="1">
        <f>'Fama-French Data'!A145</f>
        <v>2.8000000000000001E-2</v>
      </c>
      <c r="J145" s="1">
        <f>'Fama-French Data'!B145</f>
        <v>6.0100000000000001E-2</v>
      </c>
      <c r="K145" s="1">
        <f>'Fama-French Data'!C145</f>
        <v>-1.1000000000000001E-3</v>
      </c>
      <c r="L145">
        <f>'Fama-French Data'!F145</f>
        <v>0.03</v>
      </c>
      <c r="M145">
        <f t="shared" si="17"/>
        <v>1408.4018201631495</v>
      </c>
      <c r="N145">
        <f t="shared" si="18"/>
        <v>1279.9628622745995</v>
      </c>
      <c r="O145">
        <f t="shared" si="19"/>
        <v>1416.1907149238134</v>
      </c>
    </row>
    <row r="146" spans="1:15" x14ac:dyDescent="0.25">
      <c r="A146" s="3">
        <v>40207</v>
      </c>
      <c r="B146" s="1">
        <v>-3.1670999999999998E-2</v>
      </c>
      <c r="C146" s="1">
        <v>-5.2149000000000001E-2</v>
      </c>
      <c r="D146" s="1">
        <v>-3.5699000000000002E-2</v>
      </c>
      <c r="E146" s="1">
        <f>'Fama-French Data'!D146</f>
        <v>0</v>
      </c>
      <c r="F146">
        <f t="shared" si="14"/>
        <v>-3.1670999999999998E-2</v>
      </c>
      <c r="G146">
        <f t="shared" si="15"/>
        <v>-5.2149000000000001E-2</v>
      </c>
      <c r="H146">
        <f t="shared" si="16"/>
        <v>-3.5699000000000002E-2</v>
      </c>
      <c r="I146" s="1">
        <f>'Fama-French Data'!A146</f>
        <v>-3.3500000000000002E-2</v>
      </c>
      <c r="J146" s="1">
        <f>'Fama-French Data'!B146</f>
        <v>4.3E-3</v>
      </c>
      <c r="K146" s="1">
        <f>'Fama-French Data'!C146</f>
        <v>3.3E-3</v>
      </c>
      <c r="L146">
        <f>'Fama-French Data'!F146</f>
        <v>-5.33E-2</v>
      </c>
      <c r="M146">
        <f t="shared" si="17"/>
        <v>1363.7963261167624</v>
      </c>
      <c r="N146">
        <f t="shared" si="18"/>
        <v>1213.2140789698415</v>
      </c>
      <c r="O146">
        <f t="shared" si="19"/>
        <v>1365.6341225917481</v>
      </c>
    </row>
    <row r="147" spans="1:15" x14ac:dyDescent="0.25">
      <c r="A147" s="3">
        <v>40235</v>
      </c>
      <c r="B147" s="1">
        <v>3.1071000000000001E-2</v>
      </c>
      <c r="C147" s="1">
        <v>4.6866999999999999E-2</v>
      </c>
      <c r="D147" s="1">
        <v>2.9707000000000001E-2</v>
      </c>
      <c r="E147" s="1">
        <f>'Fama-French Data'!D147</f>
        <v>0</v>
      </c>
      <c r="F147">
        <f t="shared" si="14"/>
        <v>3.1071000000000001E-2</v>
      </c>
      <c r="G147">
        <f t="shared" si="15"/>
        <v>4.6866999999999999E-2</v>
      </c>
      <c r="H147">
        <f t="shared" si="16"/>
        <v>2.9707000000000001E-2</v>
      </c>
      <c r="I147" s="1">
        <f>'Fama-French Data'!A147</f>
        <v>3.39E-2</v>
      </c>
      <c r="J147" s="1">
        <f>'Fama-French Data'!B147</f>
        <v>1.18E-2</v>
      </c>
      <c r="K147" s="1">
        <f>'Fama-French Data'!C147</f>
        <v>3.1800000000000002E-2</v>
      </c>
      <c r="L147">
        <f>'Fama-French Data'!F147</f>
        <v>3.6900000000000002E-2</v>
      </c>
      <c r="M147">
        <f t="shared" si="17"/>
        <v>1406.1708417655364</v>
      </c>
      <c r="N147">
        <f t="shared" si="18"/>
        <v>1270.073783208921</v>
      </c>
      <c r="O147">
        <f t="shared" si="19"/>
        <v>1406.203015471581</v>
      </c>
    </row>
    <row r="148" spans="1:15" x14ac:dyDescent="0.25">
      <c r="A148" s="3">
        <v>40268</v>
      </c>
      <c r="B148" s="1">
        <v>6.1459E-2</v>
      </c>
      <c r="C148" s="1">
        <v>6.3259999999999997E-2</v>
      </c>
      <c r="D148" s="1">
        <v>5.9219000000000001E-2</v>
      </c>
      <c r="E148" s="1">
        <f>'Fama-French Data'!D148</f>
        <v>1E-4</v>
      </c>
      <c r="F148">
        <f t="shared" si="14"/>
        <v>6.1358999999999997E-2</v>
      </c>
      <c r="G148">
        <f t="shared" si="15"/>
        <v>6.3159999999999994E-2</v>
      </c>
      <c r="H148">
        <f t="shared" si="16"/>
        <v>5.9118999999999998E-2</v>
      </c>
      <c r="I148" s="1">
        <f>'Fama-French Data'!A148</f>
        <v>6.3E-2</v>
      </c>
      <c r="J148" s="1">
        <f>'Fama-French Data'!B148</f>
        <v>1.46E-2</v>
      </c>
      <c r="K148" s="1">
        <f>'Fama-French Data'!C148</f>
        <v>2.1899999999999999E-2</v>
      </c>
      <c r="L148">
        <f>'Fama-French Data'!F148</f>
        <v>3.5700000000000003E-2</v>
      </c>
      <c r="M148">
        <f t="shared" si="17"/>
        <v>1492.5926955296043</v>
      </c>
      <c r="N148">
        <f t="shared" si="18"/>
        <v>1350.4186507347174</v>
      </c>
      <c r="O148">
        <f t="shared" si="19"/>
        <v>1489.4769518447924</v>
      </c>
    </row>
    <row r="149" spans="1:15" x14ac:dyDescent="0.25">
      <c r="A149" s="3">
        <v>40298</v>
      </c>
      <c r="B149" s="1">
        <v>2.0941999999999999E-2</v>
      </c>
      <c r="C149" s="1">
        <v>1.3730000000000001E-3</v>
      </c>
      <c r="D149" s="1">
        <v>1.5987000000000001E-2</v>
      </c>
      <c r="E149" s="1">
        <f>'Fama-French Data'!D149</f>
        <v>1E-4</v>
      </c>
      <c r="F149">
        <f t="shared" si="14"/>
        <v>2.0841999999999999E-2</v>
      </c>
      <c r="G149">
        <f t="shared" si="15"/>
        <v>1.273E-3</v>
      </c>
      <c r="H149">
        <f t="shared" si="16"/>
        <v>1.5887000000000002E-2</v>
      </c>
      <c r="I149" s="1">
        <f>'Fama-French Data'!A149</f>
        <v>1.9900000000000001E-2</v>
      </c>
      <c r="J149" s="1">
        <f>'Fama-French Data'!B149</f>
        <v>4.8399999999999999E-2</v>
      </c>
      <c r="K149" s="1">
        <f>'Fama-French Data'!C149</f>
        <v>2.9600000000000001E-2</v>
      </c>
      <c r="L149">
        <f>'Fama-French Data'!F149</f>
        <v>3.1600000000000003E-2</v>
      </c>
      <c r="M149">
        <f t="shared" si="17"/>
        <v>1523.8505717593853</v>
      </c>
      <c r="N149">
        <f t="shared" si="18"/>
        <v>1352.2727755421763</v>
      </c>
      <c r="O149">
        <f t="shared" si="19"/>
        <v>1513.2892198739351</v>
      </c>
    </row>
    <row r="150" spans="1:15" x14ac:dyDescent="0.25">
      <c r="A150" s="3">
        <v>40326</v>
      </c>
      <c r="B150" s="1">
        <v>-8.4249000000000004E-2</v>
      </c>
      <c r="C150" s="1">
        <v>-7.9981999999999998E-2</v>
      </c>
      <c r="D150" s="1">
        <v>-7.9917000000000002E-2</v>
      </c>
      <c r="E150" s="1">
        <f>'Fama-French Data'!D150</f>
        <v>1E-4</v>
      </c>
      <c r="F150">
        <f t="shared" si="14"/>
        <v>-8.4349000000000007E-2</v>
      </c>
      <c r="G150">
        <f t="shared" si="15"/>
        <v>-8.0082E-2</v>
      </c>
      <c r="H150">
        <f t="shared" si="16"/>
        <v>-8.0017000000000005E-2</v>
      </c>
      <c r="I150" s="1">
        <f>'Fama-French Data'!A150</f>
        <v>-7.9000000000000001E-2</v>
      </c>
      <c r="J150" s="1">
        <f>'Fama-French Data'!B150</f>
        <v>1.2999999999999999E-3</v>
      </c>
      <c r="K150" s="1">
        <f>'Fama-French Data'!C150</f>
        <v>-2.4799999999999999E-2</v>
      </c>
      <c r="L150">
        <f>'Fama-French Data'!F150</f>
        <v>-2E-3</v>
      </c>
      <c r="M150">
        <f t="shared" si="17"/>
        <v>1395.4676849392288</v>
      </c>
      <c r="N150">
        <f t="shared" si="18"/>
        <v>1244.1152944087619</v>
      </c>
      <c r="O150">
        <f t="shared" si="19"/>
        <v>1392.3516852892697</v>
      </c>
    </row>
    <row r="151" spans="1:15" x14ac:dyDescent="0.25">
      <c r="A151" s="3">
        <v>40359</v>
      </c>
      <c r="B151" s="1">
        <v>-6.4799999999999996E-2</v>
      </c>
      <c r="C151" s="1">
        <v>-5.7128999999999999E-2</v>
      </c>
      <c r="D151" s="1">
        <v>-5.2705000000000002E-2</v>
      </c>
      <c r="E151" s="1">
        <f>'Fama-French Data'!D151</f>
        <v>1E-4</v>
      </c>
      <c r="F151">
        <f t="shared" si="14"/>
        <v>-6.4899999999999999E-2</v>
      </c>
      <c r="G151">
        <f t="shared" si="15"/>
        <v>-5.7229000000000002E-2</v>
      </c>
      <c r="H151">
        <f t="shared" si="16"/>
        <v>-5.2805000000000005E-2</v>
      </c>
      <c r="I151" s="1">
        <f>'Fama-French Data'!A151</f>
        <v>-5.5599999999999997E-2</v>
      </c>
      <c r="J151" s="1">
        <f>'Fama-French Data'!B151</f>
        <v>-1.7899999999999999E-2</v>
      </c>
      <c r="K151" s="1">
        <f>'Fama-French Data'!C151</f>
        <v>-4.7300000000000002E-2</v>
      </c>
      <c r="L151">
        <f>'Fama-French Data'!F151</f>
        <v>-2.7E-2</v>
      </c>
      <c r="M151">
        <f t="shared" si="17"/>
        <v>1305.0413789551667</v>
      </c>
      <c r="N151">
        <f t="shared" si="18"/>
        <v>1173.0402317544838</v>
      </c>
      <c r="O151">
        <f t="shared" si="19"/>
        <v>1318.9677897160987</v>
      </c>
    </row>
    <row r="152" spans="1:15" x14ac:dyDescent="0.25">
      <c r="A152" s="3">
        <v>40389</v>
      </c>
      <c r="B152" s="1">
        <v>7.5407000000000002E-2</v>
      </c>
      <c r="C152" s="1">
        <v>5.3740999999999997E-2</v>
      </c>
      <c r="D152" s="1">
        <v>6.9655999999999996E-2</v>
      </c>
      <c r="E152" s="1">
        <f>'Fama-French Data'!D152</f>
        <v>1E-4</v>
      </c>
      <c r="F152">
        <f t="shared" si="14"/>
        <v>7.5306999999999999E-2</v>
      </c>
      <c r="G152">
        <f t="shared" si="15"/>
        <v>5.3640999999999994E-2</v>
      </c>
      <c r="H152">
        <f t="shared" si="16"/>
        <v>6.9555999999999993E-2</v>
      </c>
      <c r="I152" s="1">
        <f>'Fama-French Data'!A152</f>
        <v>6.9199999999999998E-2</v>
      </c>
      <c r="J152" s="1">
        <f>'Fama-French Data'!B152</f>
        <v>2.2000000000000001E-3</v>
      </c>
      <c r="K152" s="1">
        <f>'Fama-French Data'!C152</f>
        <v>-5.0000000000000001E-3</v>
      </c>
      <c r="L152">
        <f>'Fama-French Data'!F152</f>
        <v>1.78E-2</v>
      </c>
      <c r="M152">
        <f t="shared" si="17"/>
        <v>1403.4506342180389</v>
      </c>
      <c r="N152">
        <f t="shared" si="18"/>
        <v>1236.0805868492016</v>
      </c>
      <c r="O152">
        <f t="shared" si="19"/>
        <v>1410.8418100765632</v>
      </c>
    </row>
    <row r="153" spans="1:15" x14ac:dyDescent="0.25">
      <c r="A153" s="3">
        <v>40421</v>
      </c>
      <c r="B153" s="1">
        <v>-5.8167000000000003E-2</v>
      </c>
      <c r="C153" s="1">
        <v>-4.5999999999999999E-2</v>
      </c>
      <c r="D153" s="1">
        <v>-4.5048999999999999E-2</v>
      </c>
      <c r="E153" s="1">
        <f>'Fama-French Data'!D153</f>
        <v>1E-4</v>
      </c>
      <c r="F153">
        <f t="shared" si="14"/>
        <v>-5.8267000000000006E-2</v>
      </c>
      <c r="G153">
        <f t="shared" si="15"/>
        <v>-4.6100000000000002E-2</v>
      </c>
      <c r="H153">
        <f t="shared" si="16"/>
        <v>-4.5149000000000002E-2</v>
      </c>
      <c r="I153" s="1">
        <f>'Fama-French Data'!A153</f>
        <v>-4.7800000000000002E-2</v>
      </c>
      <c r="J153" s="1">
        <f>'Fama-French Data'!B153</f>
        <v>-3.0099999999999998E-2</v>
      </c>
      <c r="K153" s="1">
        <f>'Fama-French Data'!C153</f>
        <v>-1.7299999999999999E-2</v>
      </c>
      <c r="L153">
        <f>'Fama-French Data'!F153</f>
        <v>4.0000000000000002E-4</v>
      </c>
      <c r="M153">
        <f t="shared" si="17"/>
        <v>1321.8161211774782</v>
      </c>
      <c r="N153">
        <f t="shared" si="18"/>
        <v>1179.2208798541383</v>
      </c>
      <c r="O153">
        <f t="shared" si="19"/>
        <v>1347.2847973744242</v>
      </c>
    </row>
    <row r="154" spans="1:15" x14ac:dyDescent="0.25">
      <c r="A154" s="3">
        <v>40451</v>
      </c>
      <c r="B154" s="1">
        <v>9.4246999999999997E-2</v>
      </c>
      <c r="C154" s="1">
        <v>9.4339999999999993E-2</v>
      </c>
      <c r="D154" s="1">
        <v>8.9159000000000002E-2</v>
      </c>
      <c r="E154" s="1">
        <f>'Fama-French Data'!D154</f>
        <v>1E-4</v>
      </c>
      <c r="F154">
        <f t="shared" si="14"/>
        <v>9.4146999999999995E-2</v>
      </c>
      <c r="G154">
        <f t="shared" si="15"/>
        <v>9.423999999999999E-2</v>
      </c>
      <c r="H154">
        <f t="shared" si="16"/>
        <v>8.9058999999999999E-2</v>
      </c>
      <c r="I154" s="1">
        <f>'Fama-French Data'!A154</f>
        <v>9.5500000000000002E-2</v>
      </c>
      <c r="J154" s="1">
        <f>'Fama-French Data'!B154</f>
        <v>3.8199999999999998E-2</v>
      </c>
      <c r="K154" s="1">
        <f>'Fama-French Data'!C154</f>
        <v>-3.0200000000000001E-2</v>
      </c>
      <c r="L154">
        <f>'Fama-French Data'!F154</f>
        <v>1.38E-2</v>
      </c>
      <c r="M154">
        <f t="shared" si="17"/>
        <v>1446.3933251500919</v>
      </c>
      <c r="N154">
        <f t="shared" si="18"/>
        <v>1290.4685776595777</v>
      </c>
      <c r="O154">
        <f t="shared" si="19"/>
        <v>1467.4073626235304</v>
      </c>
    </row>
    <row r="155" spans="1:15" x14ac:dyDescent="0.25">
      <c r="A155" s="3">
        <v>40480</v>
      </c>
      <c r="B155" s="1">
        <v>3.3307999999999997E-2</v>
      </c>
      <c r="C155" s="1">
        <v>3.8793000000000001E-2</v>
      </c>
      <c r="D155" s="1">
        <v>3.7914999999999997E-2</v>
      </c>
      <c r="E155" s="1">
        <f>'Fama-French Data'!D155</f>
        <v>1E-4</v>
      </c>
      <c r="F155">
        <f t="shared" si="14"/>
        <v>3.3207999999999994E-2</v>
      </c>
      <c r="G155">
        <f t="shared" si="15"/>
        <v>3.8692999999999998E-2</v>
      </c>
      <c r="H155">
        <f t="shared" si="16"/>
        <v>3.7814999999999994E-2</v>
      </c>
      <c r="I155" s="1">
        <f>'Fama-French Data'!A155</f>
        <v>3.8699999999999998E-2</v>
      </c>
      <c r="J155" s="1">
        <f>'Fama-French Data'!B155</f>
        <v>1.0800000000000001E-2</v>
      </c>
      <c r="K155" s="1">
        <f>'Fama-French Data'!C155</f>
        <v>-2.46E-2</v>
      </c>
      <c r="L155">
        <f>'Fama-French Data'!F155</f>
        <v>1.46E-2</v>
      </c>
      <c r="M155">
        <f t="shared" si="17"/>
        <v>1494.569794024191</v>
      </c>
      <c r="N155">
        <f t="shared" si="18"/>
        <v>1340.5297251927259</v>
      </c>
      <c r="O155">
        <f t="shared" si="19"/>
        <v>1523.0441127774013</v>
      </c>
    </row>
    <row r="156" spans="1:15" x14ac:dyDescent="0.25">
      <c r="A156" s="3">
        <v>40512</v>
      </c>
      <c r="B156" s="1">
        <v>9.7450000000000002E-3</v>
      </c>
      <c r="C156" s="1">
        <v>1.7981E-2</v>
      </c>
      <c r="D156" s="1">
        <v>-4.15E-4</v>
      </c>
      <c r="E156" s="1">
        <f>'Fama-French Data'!D156</f>
        <v>1E-4</v>
      </c>
      <c r="F156">
        <f t="shared" si="14"/>
        <v>9.6450000000000008E-3</v>
      </c>
      <c r="G156">
        <f t="shared" si="15"/>
        <v>1.7881000000000001E-2</v>
      </c>
      <c r="H156">
        <f t="shared" si="16"/>
        <v>-5.1500000000000005E-4</v>
      </c>
      <c r="I156" s="1">
        <f>'Fama-French Data'!A156</f>
        <v>5.8999999999999999E-3</v>
      </c>
      <c r="J156" s="1">
        <f>'Fama-French Data'!B156</f>
        <v>3.6700000000000003E-2</v>
      </c>
      <c r="K156" s="1">
        <f>'Fama-French Data'!C156</f>
        <v>-8.9999999999999993E-3</v>
      </c>
      <c r="L156">
        <f>'Fama-French Data'!F156</f>
        <v>2.7300000000000001E-2</v>
      </c>
      <c r="M156">
        <f t="shared" si="17"/>
        <v>1509.1343766669565</v>
      </c>
      <c r="N156">
        <f t="shared" si="18"/>
        <v>1364.6337901814163</v>
      </c>
      <c r="O156">
        <f t="shared" si="19"/>
        <v>1522.4120494705987</v>
      </c>
    </row>
    <row r="157" spans="1:15" x14ac:dyDescent="0.25">
      <c r="A157" s="3">
        <v>40543</v>
      </c>
      <c r="B157" s="1">
        <v>7.2709999999999997E-2</v>
      </c>
      <c r="C157" s="1">
        <v>5.2989000000000001E-2</v>
      </c>
      <c r="D157" s="1">
        <v>6.6138000000000002E-2</v>
      </c>
      <c r="E157" s="1">
        <f>'Fama-French Data'!D157</f>
        <v>1E-4</v>
      </c>
      <c r="F157">
        <f t="shared" si="14"/>
        <v>7.2609999999999994E-2</v>
      </c>
      <c r="G157">
        <f t="shared" si="15"/>
        <v>5.2888999999999999E-2</v>
      </c>
      <c r="H157">
        <f t="shared" si="16"/>
        <v>6.6037999999999999E-2</v>
      </c>
      <c r="I157" s="1">
        <f>'Fama-French Data'!A157</f>
        <v>6.8199999999999997E-2</v>
      </c>
      <c r="J157" s="1">
        <f>'Fama-French Data'!B157</f>
        <v>7.1999999999999998E-3</v>
      </c>
      <c r="K157" s="1">
        <f>'Fama-French Data'!C157</f>
        <v>3.56E-2</v>
      </c>
      <c r="L157">
        <f>'Fama-French Data'!F157</f>
        <v>-0.03</v>
      </c>
      <c r="M157">
        <f t="shared" si="17"/>
        <v>1618.863537194411</v>
      </c>
      <c r="N157">
        <f t="shared" si="18"/>
        <v>1436.9443700893394</v>
      </c>
      <c r="O157">
        <f t="shared" si="19"/>
        <v>1623.1013375984853</v>
      </c>
    </row>
    <row r="158" spans="1:15" x14ac:dyDescent="0.25">
      <c r="A158" s="3">
        <v>40574</v>
      </c>
      <c r="B158" s="1">
        <v>1.6736000000000001E-2</v>
      </c>
      <c r="C158" s="1">
        <v>2.4945999999999999E-2</v>
      </c>
      <c r="D158" s="1">
        <v>2.3473999999999998E-2</v>
      </c>
      <c r="E158" s="1">
        <f>'Fama-French Data'!D158</f>
        <v>1E-4</v>
      </c>
      <c r="F158">
        <f t="shared" si="14"/>
        <v>1.6636000000000001E-2</v>
      </c>
      <c r="G158">
        <f t="shared" si="15"/>
        <v>2.4846E-2</v>
      </c>
      <c r="H158">
        <f t="shared" si="16"/>
        <v>2.3373999999999999E-2</v>
      </c>
      <c r="I158" s="1">
        <f>'Fama-French Data'!A158</f>
        <v>1.9800000000000002E-2</v>
      </c>
      <c r="J158" s="1">
        <f>'Fama-French Data'!B158</f>
        <v>-2.29E-2</v>
      </c>
      <c r="K158" s="1">
        <f>'Fama-French Data'!C158</f>
        <v>6.1000000000000004E-3</v>
      </c>
      <c r="L158">
        <f>'Fama-French Data'!F158</f>
        <v>-3.0000000000000001E-3</v>
      </c>
      <c r="M158">
        <f t="shared" si="17"/>
        <v>1645.9568373528969</v>
      </c>
      <c r="N158">
        <f t="shared" si="18"/>
        <v>1472.7903843455879</v>
      </c>
      <c r="O158">
        <f t="shared" si="19"/>
        <v>1661.2020183972722</v>
      </c>
    </row>
    <row r="159" spans="1:15" x14ac:dyDescent="0.25">
      <c r="A159" s="3">
        <v>40602</v>
      </c>
      <c r="B159" s="1">
        <v>4.0466000000000002E-2</v>
      </c>
      <c r="C159" s="1">
        <v>3.6509E-2</v>
      </c>
      <c r="D159" s="1">
        <v>3.4403999999999997E-2</v>
      </c>
      <c r="E159" s="1">
        <f>'Fama-French Data'!D159</f>
        <v>1E-4</v>
      </c>
      <c r="F159">
        <f t="shared" si="14"/>
        <v>4.0365999999999999E-2</v>
      </c>
      <c r="G159">
        <f t="shared" si="15"/>
        <v>3.6408999999999997E-2</v>
      </c>
      <c r="H159">
        <f t="shared" si="16"/>
        <v>3.4303999999999994E-2</v>
      </c>
      <c r="I159" s="1">
        <f>'Fama-French Data'!A159</f>
        <v>3.4799999999999998E-2</v>
      </c>
      <c r="J159" s="1">
        <f>'Fama-French Data'!B159</f>
        <v>1.4999999999999999E-2</v>
      </c>
      <c r="K159" s="1">
        <f>'Fama-French Data'!C159</f>
        <v>1.18E-2</v>
      </c>
      <c r="L159">
        <f>'Fama-French Data'!F159</f>
        <v>1.8800000000000001E-2</v>
      </c>
      <c r="M159">
        <f t="shared" si="17"/>
        <v>1712.562126733219</v>
      </c>
      <c r="N159">
        <f t="shared" si="18"/>
        <v>1526.5604884876609</v>
      </c>
      <c r="O159">
        <f t="shared" si="19"/>
        <v>1718.3540126382122</v>
      </c>
    </row>
    <row r="160" spans="1:15" x14ac:dyDescent="0.25">
      <c r="A160" s="3">
        <v>40633</v>
      </c>
      <c r="B160" s="1">
        <v>6.1960000000000001E-3</v>
      </c>
      <c r="C160" s="1">
        <v>1.0121E-2</v>
      </c>
      <c r="D160" s="1">
        <v>3.0299999999999999E-4</v>
      </c>
      <c r="E160" s="1">
        <f>'Fama-French Data'!D160</f>
        <v>1E-4</v>
      </c>
      <c r="F160">
        <f t="shared" si="14"/>
        <v>6.0959999999999999E-3</v>
      </c>
      <c r="G160">
        <f t="shared" si="15"/>
        <v>1.0021E-2</v>
      </c>
      <c r="H160">
        <f t="shared" si="16"/>
        <v>2.03E-4</v>
      </c>
      <c r="I160" s="1">
        <f>'Fama-French Data'!A160</f>
        <v>4.4999999999999997E-3</v>
      </c>
      <c r="J160" s="1">
        <f>'Fama-French Data'!B160</f>
        <v>2.4899999999999999E-2</v>
      </c>
      <c r="K160" s="1">
        <f>'Fama-French Data'!C160</f>
        <v>-1.84E-2</v>
      </c>
      <c r="L160">
        <f>'Fama-French Data'!F160</f>
        <v>3.4500000000000003E-2</v>
      </c>
      <c r="M160">
        <f t="shared" si="17"/>
        <v>1723.1731616704581</v>
      </c>
      <c r="N160">
        <f t="shared" si="18"/>
        <v>1542.0108071916445</v>
      </c>
      <c r="O160">
        <f t="shared" si="19"/>
        <v>1718.8746739040414</v>
      </c>
    </row>
    <row r="161" spans="1:15" x14ac:dyDescent="0.25">
      <c r="A161" s="3">
        <v>40662</v>
      </c>
      <c r="B161" s="1">
        <v>3.6089000000000003E-2</v>
      </c>
      <c r="C161" s="1">
        <v>2.2846000000000002E-2</v>
      </c>
      <c r="D161" s="1">
        <v>3.0044999999999999E-2</v>
      </c>
      <c r="E161" s="1">
        <f>'Fama-French Data'!D161</f>
        <v>0</v>
      </c>
      <c r="F161">
        <f t="shared" si="14"/>
        <v>3.6089000000000003E-2</v>
      </c>
      <c r="G161">
        <f t="shared" si="15"/>
        <v>2.2846000000000002E-2</v>
      </c>
      <c r="H161">
        <f t="shared" si="16"/>
        <v>3.0044999999999999E-2</v>
      </c>
      <c r="I161" s="1">
        <f>'Fama-French Data'!A161</f>
        <v>2.9000000000000001E-2</v>
      </c>
      <c r="J161" s="1">
        <f>'Fama-French Data'!B161</f>
        <v>-4.1999999999999997E-3</v>
      </c>
      <c r="K161" s="1">
        <f>'Fama-French Data'!C161</f>
        <v>-2.4400000000000002E-2</v>
      </c>
      <c r="L161">
        <f>'Fama-French Data'!F161</f>
        <v>5.0000000000000001E-4</v>
      </c>
      <c r="M161">
        <f t="shared" si="17"/>
        <v>1785.3607579019833</v>
      </c>
      <c r="N161">
        <f t="shared" si="18"/>
        <v>1577.2395860927447</v>
      </c>
      <c r="O161">
        <f t="shared" si="19"/>
        <v>1770.5182634814885</v>
      </c>
    </row>
    <row r="162" spans="1:15" x14ac:dyDescent="0.25">
      <c r="A162" s="3">
        <v>40694</v>
      </c>
      <c r="B162" s="1">
        <v>-6.3330000000000001E-3</v>
      </c>
      <c r="C162" s="1">
        <v>-8.6210000000000002E-3</v>
      </c>
      <c r="D162" s="1">
        <v>-1.1162999999999999E-2</v>
      </c>
      <c r="E162" s="1">
        <f>'Fama-French Data'!D162</f>
        <v>0</v>
      </c>
      <c r="F162">
        <f t="shared" si="14"/>
        <v>-6.3330000000000001E-3</v>
      </c>
      <c r="G162">
        <f t="shared" si="15"/>
        <v>-8.6210000000000002E-3</v>
      </c>
      <c r="H162">
        <f t="shared" si="16"/>
        <v>-1.1162999999999999E-2</v>
      </c>
      <c r="I162" s="1">
        <f>'Fama-French Data'!A162</f>
        <v>-1.2699999999999999E-2</v>
      </c>
      <c r="J162" s="1">
        <f>'Fama-French Data'!B162</f>
        <v>-7.3000000000000001E-3</v>
      </c>
      <c r="K162" s="1">
        <f>'Fama-French Data'!C162</f>
        <v>-1.8499999999999999E-2</v>
      </c>
      <c r="L162">
        <f>'Fama-French Data'!F162</f>
        <v>-6.0000000000000001E-3</v>
      </c>
      <c r="M162">
        <f t="shared" si="17"/>
        <v>1774.0540682221899</v>
      </c>
      <c r="N162">
        <f t="shared" si="18"/>
        <v>1563.6422036210392</v>
      </c>
      <c r="O162">
        <f t="shared" si="19"/>
        <v>1750.7539681062447</v>
      </c>
    </row>
    <row r="163" spans="1:15" x14ac:dyDescent="0.25">
      <c r="A163" s="3">
        <v>40724</v>
      </c>
      <c r="B163" s="1">
        <v>-8.6680000000000004E-3</v>
      </c>
      <c r="C163" s="1">
        <v>-1.9368E-2</v>
      </c>
      <c r="D163" s="1">
        <v>-1.6788000000000001E-2</v>
      </c>
      <c r="E163" s="1">
        <f>'Fama-French Data'!D163</f>
        <v>0</v>
      </c>
      <c r="F163">
        <f t="shared" si="14"/>
        <v>-8.6680000000000004E-3</v>
      </c>
      <c r="G163">
        <f t="shared" si="15"/>
        <v>-1.9368E-2</v>
      </c>
      <c r="H163">
        <f t="shared" si="16"/>
        <v>-1.6788000000000001E-2</v>
      </c>
      <c r="I163" s="1">
        <f>'Fama-French Data'!A163</f>
        <v>-1.7399999999999999E-2</v>
      </c>
      <c r="J163" s="1">
        <f>'Fama-French Data'!B163</f>
        <v>-2.7000000000000001E-3</v>
      </c>
      <c r="K163" s="1">
        <f>'Fama-French Data'!C163</f>
        <v>-2E-3</v>
      </c>
      <c r="L163">
        <f>'Fama-French Data'!F163</f>
        <v>1.8200000000000001E-2</v>
      </c>
      <c r="M163">
        <f t="shared" si="17"/>
        <v>1758.6765675588399</v>
      </c>
      <c r="N163">
        <f t="shared" si="18"/>
        <v>1533.3575814213068</v>
      </c>
      <c r="O163">
        <f t="shared" si="19"/>
        <v>1721.3623104896769</v>
      </c>
    </row>
    <row r="164" spans="1:15" x14ac:dyDescent="0.25">
      <c r="A164" s="3">
        <v>40753</v>
      </c>
      <c r="B164" s="1">
        <v>-3.4771000000000003E-2</v>
      </c>
      <c r="C164" s="1">
        <v>5.2399999999999999E-3</v>
      </c>
      <c r="D164" s="1">
        <v>-2.0081999999999999E-2</v>
      </c>
      <c r="E164" s="1">
        <f>'Fama-French Data'!D164</f>
        <v>0</v>
      </c>
      <c r="F164">
        <f t="shared" si="14"/>
        <v>-3.4771000000000003E-2</v>
      </c>
      <c r="G164">
        <f t="shared" si="15"/>
        <v>5.2399999999999999E-3</v>
      </c>
      <c r="H164">
        <f t="shared" si="16"/>
        <v>-2.0081999999999999E-2</v>
      </c>
      <c r="I164" s="1">
        <f>'Fama-French Data'!A164</f>
        <v>-2.35E-2</v>
      </c>
      <c r="J164" s="1">
        <f>'Fama-French Data'!B164</f>
        <v>-1.17E-2</v>
      </c>
      <c r="K164" s="1">
        <f>'Fama-French Data'!C164</f>
        <v>-9.1000000000000004E-3</v>
      </c>
      <c r="L164">
        <f>'Fama-French Data'!F164</f>
        <v>2E-3</v>
      </c>
      <c r="M164">
        <f t="shared" si="17"/>
        <v>1697.5256246282515</v>
      </c>
      <c r="N164">
        <f t="shared" si="18"/>
        <v>1541.3923751479542</v>
      </c>
      <c r="O164">
        <f t="shared" si="19"/>
        <v>1686.7939125704231</v>
      </c>
    </row>
    <row r="165" spans="1:15" x14ac:dyDescent="0.25">
      <c r="A165" s="3">
        <v>40786</v>
      </c>
      <c r="B165" s="1">
        <v>-7.1381E-2</v>
      </c>
      <c r="C165" s="1">
        <v>-7.2173000000000001E-2</v>
      </c>
      <c r="D165" s="1">
        <v>-5.4649000000000003E-2</v>
      </c>
      <c r="E165" s="1">
        <f>'Fama-French Data'!D165</f>
        <v>1E-4</v>
      </c>
      <c r="F165">
        <f t="shared" si="14"/>
        <v>-7.1481000000000003E-2</v>
      </c>
      <c r="G165">
        <f t="shared" si="15"/>
        <v>-7.2273000000000004E-2</v>
      </c>
      <c r="H165">
        <f t="shared" si="16"/>
        <v>-5.4749000000000006E-2</v>
      </c>
      <c r="I165" s="1">
        <f>'Fama-French Data'!A165</f>
        <v>-5.96E-2</v>
      </c>
      <c r="J165" s="1">
        <f>'Fama-French Data'!B165</f>
        <v>-2.9600000000000001E-2</v>
      </c>
      <c r="K165" s="1">
        <f>'Fama-French Data'!C165</f>
        <v>-2.4299999999999999E-2</v>
      </c>
      <c r="L165">
        <f>'Fama-French Data'!F165</f>
        <v>-2.7000000000000001E-3</v>
      </c>
      <c r="M165">
        <f t="shared" si="17"/>
        <v>1576.3545480166622</v>
      </c>
      <c r="N165">
        <f t="shared" si="18"/>
        <v>1430.1454632564009</v>
      </c>
      <c r="O165">
        <f t="shared" si="19"/>
        <v>1594.6123120423622</v>
      </c>
    </row>
    <row r="166" spans="1:15" x14ac:dyDescent="0.25">
      <c r="A166" s="3">
        <v>40816</v>
      </c>
      <c r="B166" s="1">
        <v>-8.0171999999999993E-2</v>
      </c>
      <c r="C166" s="1">
        <v>-8.5998000000000005E-2</v>
      </c>
      <c r="D166" s="1">
        <v>-6.8274000000000001E-2</v>
      </c>
      <c r="E166" s="1">
        <f>'Fama-French Data'!D166</f>
        <v>0</v>
      </c>
      <c r="F166">
        <f t="shared" si="14"/>
        <v>-8.0171999999999993E-2</v>
      </c>
      <c r="G166">
        <f t="shared" si="15"/>
        <v>-8.5998000000000005E-2</v>
      </c>
      <c r="H166">
        <f t="shared" si="16"/>
        <v>-6.8274000000000001E-2</v>
      </c>
      <c r="I166" s="1">
        <f>'Fama-French Data'!A166</f>
        <v>-7.5800000000000006E-2</v>
      </c>
      <c r="J166" s="1">
        <f>'Fama-French Data'!B166</f>
        <v>-3.1199999999999999E-2</v>
      </c>
      <c r="K166" s="1">
        <f>'Fama-French Data'!C166</f>
        <v>-1.5299999999999999E-2</v>
      </c>
      <c r="L166">
        <f>'Fama-French Data'!F166</f>
        <v>-2.4E-2</v>
      </c>
      <c r="M166">
        <f t="shared" si="17"/>
        <v>1449.9750511930704</v>
      </c>
      <c r="N166">
        <f t="shared" si="18"/>
        <v>1307.155813707277</v>
      </c>
      <c r="O166">
        <f t="shared" si="19"/>
        <v>1485.741751049982</v>
      </c>
    </row>
    <row r="167" spans="1:15" x14ac:dyDescent="0.25">
      <c r="A167" s="3">
        <v>40847</v>
      </c>
      <c r="B167" s="1">
        <v>0.122848</v>
      </c>
      <c r="C167" s="1">
        <v>0.112057</v>
      </c>
      <c r="D167" s="1">
        <v>0.108658</v>
      </c>
      <c r="E167" s="1">
        <f>'Fama-French Data'!D167</f>
        <v>0</v>
      </c>
      <c r="F167">
        <f t="shared" si="14"/>
        <v>0.122848</v>
      </c>
      <c r="G167">
        <f t="shared" si="15"/>
        <v>0.112057</v>
      </c>
      <c r="H167">
        <f t="shared" si="16"/>
        <v>0.108658</v>
      </c>
      <c r="I167" s="1">
        <f>'Fama-French Data'!A167</f>
        <v>0.1133</v>
      </c>
      <c r="J167" s="1">
        <f>'Fama-French Data'!B167</f>
        <v>3.0499999999999999E-2</v>
      </c>
      <c r="K167" s="1">
        <f>'Fama-French Data'!C167</f>
        <v>5.9999999999999995E-4</v>
      </c>
      <c r="L167">
        <f>'Fama-French Data'!F167</f>
        <v>-1.4E-2</v>
      </c>
      <c r="M167">
        <f t="shared" si="17"/>
        <v>1628.1015862820368</v>
      </c>
      <c r="N167">
        <f t="shared" si="18"/>
        <v>1453.6317727238734</v>
      </c>
      <c r="O167">
        <f t="shared" si="19"/>
        <v>1647.1794782355707</v>
      </c>
    </row>
    <row r="168" spans="1:15" x14ac:dyDescent="0.25">
      <c r="A168" s="3">
        <v>40877</v>
      </c>
      <c r="B168" s="1">
        <v>2.4359999999999998E-3</v>
      </c>
      <c r="C168" s="1">
        <v>-2.9759999999999999E-3</v>
      </c>
      <c r="D168" s="1">
        <v>-1.952E-3</v>
      </c>
      <c r="E168" s="1">
        <f>'Fama-French Data'!D168</f>
        <v>0</v>
      </c>
      <c r="F168">
        <f t="shared" si="14"/>
        <v>2.4359999999999998E-3</v>
      </c>
      <c r="G168">
        <f t="shared" si="15"/>
        <v>-2.9759999999999999E-3</v>
      </c>
      <c r="H168">
        <f t="shared" si="16"/>
        <v>-1.952E-3</v>
      </c>
      <c r="I168" s="1">
        <f>'Fama-French Data'!A168</f>
        <v>-2.7000000000000001E-3</v>
      </c>
      <c r="J168" s="1">
        <f>'Fama-French Data'!B168</f>
        <v>-1.8E-3</v>
      </c>
      <c r="K168" s="1">
        <f>'Fama-French Data'!C168</f>
        <v>-5.1999999999999998E-3</v>
      </c>
      <c r="L168">
        <f>'Fama-French Data'!F168</f>
        <v>3.8800000000000001E-2</v>
      </c>
      <c r="M168">
        <f t="shared" si="17"/>
        <v>1632.06764174622</v>
      </c>
      <c r="N168">
        <f t="shared" si="18"/>
        <v>1449.3057645682472</v>
      </c>
      <c r="O168">
        <f t="shared" si="19"/>
        <v>1643.9641838940549</v>
      </c>
    </row>
    <row r="169" spans="1:15" x14ac:dyDescent="0.25">
      <c r="A169" s="3">
        <v>40907</v>
      </c>
      <c r="B169" s="1">
        <v>8.2030000000000002E-3</v>
      </c>
      <c r="C169" s="1">
        <v>-1.8762999999999998E-2</v>
      </c>
      <c r="D169" s="1">
        <v>1.0043E-2</v>
      </c>
      <c r="E169" s="1">
        <f>'Fama-French Data'!D169</f>
        <v>0</v>
      </c>
      <c r="F169">
        <f t="shared" si="14"/>
        <v>8.2030000000000002E-3</v>
      </c>
      <c r="G169">
        <f t="shared" si="15"/>
        <v>-1.8762999999999998E-2</v>
      </c>
      <c r="H169">
        <f t="shared" si="16"/>
        <v>1.0043E-2</v>
      </c>
      <c r="I169" s="1">
        <f>'Fama-French Data'!A169</f>
        <v>7.4999999999999997E-3</v>
      </c>
      <c r="J169" s="1">
        <f>'Fama-French Data'!B169</f>
        <v>-5.5999999999999999E-3</v>
      </c>
      <c r="K169" s="1">
        <f>'Fama-French Data'!C169</f>
        <v>1.54E-2</v>
      </c>
      <c r="L169">
        <f>'Fama-French Data'!F169</f>
        <v>1.83E-2</v>
      </c>
      <c r="M169">
        <f t="shared" si="17"/>
        <v>1645.4554926114643</v>
      </c>
      <c r="N169">
        <f t="shared" si="18"/>
        <v>1422.1124405076532</v>
      </c>
      <c r="O169">
        <f t="shared" si="19"/>
        <v>1660.4745161929029</v>
      </c>
    </row>
    <row r="170" spans="1:15" x14ac:dyDescent="0.25">
      <c r="A170" s="3">
        <v>40939</v>
      </c>
      <c r="B170" s="1">
        <v>5.8212E-2</v>
      </c>
      <c r="C170" s="1">
        <v>6.5188999999999997E-2</v>
      </c>
      <c r="D170" s="1">
        <v>4.3985999999999997E-2</v>
      </c>
      <c r="E170" s="1">
        <f>'Fama-French Data'!D170</f>
        <v>0</v>
      </c>
      <c r="F170">
        <f t="shared" si="14"/>
        <v>5.8212E-2</v>
      </c>
      <c r="G170">
        <f t="shared" si="15"/>
        <v>6.5188999999999997E-2</v>
      </c>
      <c r="H170">
        <f t="shared" si="16"/>
        <v>4.3985999999999997E-2</v>
      </c>
      <c r="I170" s="1">
        <f>'Fama-French Data'!A170</f>
        <v>5.0500000000000003E-2</v>
      </c>
      <c r="J170" s="1">
        <f>'Fama-French Data'!B170</f>
        <v>2.01E-2</v>
      </c>
      <c r="K170" s="1">
        <f>'Fama-French Data'!C170</f>
        <v>-9.2999999999999992E-3</v>
      </c>
      <c r="L170">
        <f>'Fama-French Data'!F170</f>
        <v>-8.0100000000000005E-2</v>
      </c>
      <c r="M170">
        <f t="shared" si="17"/>
        <v>1741.2407477473628</v>
      </c>
      <c r="N170">
        <f t="shared" si="18"/>
        <v>1514.8185283919065</v>
      </c>
      <c r="O170">
        <f t="shared" si="19"/>
        <v>1733.5121482621641</v>
      </c>
    </row>
    <row r="171" spans="1:15" x14ac:dyDescent="0.25">
      <c r="A171" s="3">
        <v>40968</v>
      </c>
      <c r="B171" s="1">
        <v>4.8460999999999997E-2</v>
      </c>
      <c r="C171" s="1">
        <v>4.9776000000000001E-2</v>
      </c>
      <c r="D171" s="1">
        <v>4.2506000000000002E-2</v>
      </c>
      <c r="E171" s="1">
        <f>'Fama-French Data'!D171</f>
        <v>0</v>
      </c>
      <c r="F171">
        <f t="shared" si="14"/>
        <v>4.8460999999999997E-2</v>
      </c>
      <c r="G171">
        <f t="shared" si="15"/>
        <v>4.9776000000000001E-2</v>
      </c>
      <c r="H171">
        <f t="shared" si="16"/>
        <v>4.2506000000000002E-2</v>
      </c>
      <c r="I171" s="1">
        <f>'Fama-French Data'!A171</f>
        <v>4.4200000000000003E-2</v>
      </c>
      <c r="J171" s="1">
        <f>'Fama-French Data'!B171</f>
        <v>-1.84E-2</v>
      </c>
      <c r="K171" s="1">
        <f>'Fama-French Data'!C171</f>
        <v>4.1999999999999997E-3</v>
      </c>
      <c r="L171">
        <f>'Fama-French Data'!F171</f>
        <v>-2.5999999999999999E-3</v>
      </c>
      <c r="M171">
        <f t="shared" si="17"/>
        <v>1825.6230156239478</v>
      </c>
      <c r="N171">
        <f t="shared" si="18"/>
        <v>1590.220135461142</v>
      </c>
      <c r="O171">
        <f t="shared" si="19"/>
        <v>1807.1968156361957</v>
      </c>
    </row>
    <row r="172" spans="1:15" x14ac:dyDescent="0.25">
      <c r="A172" s="3">
        <v>40998</v>
      </c>
      <c r="B172" s="1">
        <v>2.8357E-2</v>
      </c>
      <c r="C172" s="1">
        <v>4.0807999999999997E-2</v>
      </c>
      <c r="D172" s="1">
        <v>3.2257000000000001E-2</v>
      </c>
      <c r="E172" s="1">
        <f>'Fama-French Data'!D172</f>
        <v>0</v>
      </c>
      <c r="F172">
        <f t="shared" si="14"/>
        <v>2.8357E-2</v>
      </c>
      <c r="G172">
        <f t="shared" si="15"/>
        <v>4.0807999999999997E-2</v>
      </c>
      <c r="H172">
        <f t="shared" si="16"/>
        <v>3.2257000000000001E-2</v>
      </c>
      <c r="I172" s="1">
        <f>'Fama-French Data'!A172</f>
        <v>3.1199999999999999E-2</v>
      </c>
      <c r="J172" s="1">
        <f>'Fama-French Data'!B172</f>
        <v>-6.3E-3</v>
      </c>
      <c r="K172" s="1">
        <f>'Fama-French Data'!C172</f>
        <v>1.1900000000000001E-2</v>
      </c>
      <c r="L172">
        <f>'Fama-French Data'!F172</f>
        <v>1.3100000000000001E-2</v>
      </c>
      <c r="M172">
        <f t="shared" si="17"/>
        <v>1877.392207477996</v>
      </c>
      <c r="N172">
        <f t="shared" si="18"/>
        <v>1655.1138387490403</v>
      </c>
      <c r="O172">
        <f t="shared" si="19"/>
        <v>1865.4915633181724</v>
      </c>
    </row>
    <row r="173" spans="1:15" x14ac:dyDescent="0.25">
      <c r="A173" s="3">
        <v>41029</v>
      </c>
      <c r="B173" s="1">
        <v>-1.217E-3</v>
      </c>
      <c r="C173" s="1">
        <v>-7.4679999999999998E-3</v>
      </c>
      <c r="D173" s="1">
        <v>-6.6109999999999997E-3</v>
      </c>
      <c r="E173" s="1">
        <f>'Fama-French Data'!D173</f>
        <v>0</v>
      </c>
      <c r="F173">
        <f t="shared" si="14"/>
        <v>-1.217E-3</v>
      </c>
      <c r="G173">
        <f t="shared" si="15"/>
        <v>-7.4679999999999998E-3</v>
      </c>
      <c r="H173">
        <f t="shared" si="16"/>
        <v>-6.6109999999999997E-3</v>
      </c>
      <c r="I173" s="1">
        <f>'Fama-French Data'!A173</f>
        <v>-8.5000000000000006E-3</v>
      </c>
      <c r="J173" s="1">
        <f>'Fama-French Data'!B173</f>
        <v>-3.7000000000000002E-3</v>
      </c>
      <c r="K173" s="1">
        <f>'Fama-French Data'!C173</f>
        <v>-7.7000000000000002E-3</v>
      </c>
      <c r="L173">
        <f>'Fama-French Data'!F173</f>
        <v>3.7199999999999997E-2</v>
      </c>
      <c r="M173">
        <f t="shared" si="17"/>
        <v>1875.1074211614953</v>
      </c>
      <c r="N173">
        <f t="shared" si="18"/>
        <v>1642.7534486012623</v>
      </c>
      <c r="O173">
        <f t="shared" si="19"/>
        <v>1853.158798593076</v>
      </c>
    </row>
    <row r="174" spans="1:15" x14ac:dyDescent="0.25">
      <c r="A174" s="3">
        <v>41060</v>
      </c>
      <c r="B174" s="1">
        <v>-7.4909000000000003E-2</v>
      </c>
      <c r="C174" s="1">
        <v>-7.1859000000000006E-2</v>
      </c>
      <c r="D174" s="1">
        <v>-6.0595000000000003E-2</v>
      </c>
      <c r="E174" s="1">
        <f>'Fama-French Data'!D174</f>
        <v>1E-4</v>
      </c>
      <c r="F174">
        <f t="shared" si="14"/>
        <v>-7.5009000000000006E-2</v>
      </c>
      <c r="G174">
        <f t="shared" si="15"/>
        <v>-7.1959000000000009E-2</v>
      </c>
      <c r="H174">
        <f t="shared" si="16"/>
        <v>-6.0695000000000006E-2</v>
      </c>
      <c r="I174" s="1">
        <f>'Fama-French Data'!A174</f>
        <v>-6.1699999999999998E-2</v>
      </c>
      <c r="J174" s="1">
        <f>'Fama-French Data'!B174</f>
        <v>1.1999999999999999E-3</v>
      </c>
      <c r="K174" s="1">
        <f>'Fama-French Data'!C174</f>
        <v>-9.4999999999999998E-3</v>
      </c>
      <c r="L174">
        <f>'Fama-French Data'!F174</f>
        <v>6.4399999999999999E-2</v>
      </c>
      <c r="M174">
        <f t="shared" si="17"/>
        <v>1734.6449993497088</v>
      </c>
      <c r="N174">
        <f t="shared" si="18"/>
        <v>1524.7068285382243</v>
      </c>
      <c r="O174">
        <f t="shared" si="19"/>
        <v>1740.8666411923286</v>
      </c>
    </row>
    <row r="175" spans="1:15" x14ac:dyDescent="0.25">
      <c r="A175" s="3">
        <v>41089</v>
      </c>
      <c r="B175" s="1">
        <v>3.3180000000000001E-2</v>
      </c>
      <c r="C175" s="1">
        <v>3.0807000000000001E-2</v>
      </c>
      <c r="D175" s="1">
        <v>4.1201000000000002E-2</v>
      </c>
      <c r="E175" s="1">
        <f>'Fama-French Data'!D175</f>
        <v>0</v>
      </c>
      <c r="F175">
        <f t="shared" si="14"/>
        <v>3.3180000000000001E-2</v>
      </c>
      <c r="G175">
        <f t="shared" si="15"/>
        <v>3.0807000000000001E-2</v>
      </c>
      <c r="H175">
        <f t="shared" si="16"/>
        <v>4.1201000000000002E-2</v>
      </c>
      <c r="I175" s="1">
        <f>'Fama-French Data'!A175</f>
        <v>3.8899999999999997E-2</v>
      </c>
      <c r="J175" s="1">
        <f>'Fama-French Data'!B175</f>
        <v>7.1999999999999998E-3</v>
      </c>
      <c r="K175" s="1">
        <f>'Fama-French Data'!C175</f>
        <v>5.4999999999999997E-3</v>
      </c>
      <c r="L175">
        <f>'Fama-French Data'!F175</f>
        <v>-1.0999999999999999E-2</v>
      </c>
      <c r="M175">
        <f t="shared" si="17"/>
        <v>1792.200520428132</v>
      </c>
      <c r="N175">
        <f t="shared" si="18"/>
        <v>1571.6784718050014</v>
      </c>
      <c r="O175">
        <f t="shared" si="19"/>
        <v>1812.5920876760938</v>
      </c>
    </row>
    <row r="176" spans="1:15" x14ac:dyDescent="0.25">
      <c r="A176" s="3">
        <v>41121</v>
      </c>
      <c r="B176" s="1">
        <v>2.1059000000000001E-2</v>
      </c>
      <c r="C176" s="1">
        <v>1.0224E-2</v>
      </c>
      <c r="D176" s="1">
        <v>1.259E-2</v>
      </c>
      <c r="E176" s="1">
        <f>'Fama-French Data'!D176</f>
        <v>0</v>
      </c>
      <c r="F176">
        <f t="shared" si="14"/>
        <v>2.1059000000000001E-2</v>
      </c>
      <c r="G176">
        <f t="shared" si="15"/>
        <v>1.0224E-2</v>
      </c>
      <c r="H176">
        <f t="shared" si="16"/>
        <v>1.259E-2</v>
      </c>
      <c r="I176" s="1">
        <f>'Fama-French Data'!A176</f>
        <v>7.9000000000000008E-3</v>
      </c>
      <c r="J176" s="1">
        <f>'Fama-French Data'!B176</f>
        <v>-2.76E-2</v>
      </c>
      <c r="K176" s="1">
        <f>'Fama-French Data'!C176</f>
        <v>-5.9999999999999995E-4</v>
      </c>
      <c r="L176">
        <f>'Fama-French Data'!F176</f>
        <v>0.03</v>
      </c>
      <c r="M176">
        <f t="shared" si="17"/>
        <v>1829.942471187828</v>
      </c>
      <c r="N176">
        <f t="shared" si="18"/>
        <v>1587.7473125007357</v>
      </c>
      <c r="O176">
        <f t="shared" si="19"/>
        <v>1835.412622059936</v>
      </c>
    </row>
    <row r="177" spans="1:15" x14ac:dyDescent="0.25">
      <c r="A177" s="3">
        <v>41152</v>
      </c>
      <c r="B177" s="1">
        <v>2.1874999999999999E-2</v>
      </c>
      <c r="C177" s="1">
        <v>3.9315000000000003E-2</v>
      </c>
      <c r="D177" s="1">
        <v>2.2380000000000001E-2</v>
      </c>
      <c r="E177" s="1">
        <f>'Fama-French Data'!D177</f>
        <v>1E-4</v>
      </c>
      <c r="F177">
        <f t="shared" si="14"/>
        <v>2.1774999999999999E-2</v>
      </c>
      <c r="G177">
        <f t="shared" si="15"/>
        <v>3.9215E-2</v>
      </c>
      <c r="H177">
        <f t="shared" si="16"/>
        <v>2.2280000000000001E-2</v>
      </c>
      <c r="I177" s="1">
        <f>'Fama-French Data'!A177</f>
        <v>2.5399999999999999E-2</v>
      </c>
      <c r="J177" s="1">
        <f>'Fama-French Data'!B177</f>
        <v>5.0000000000000001E-3</v>
      </c>
      <c r="K177" s="1">
        <f>'Fama-French Data'!C177</f>
        <v>1.23E-2</v>
      </c>
      <c r="L177">
        <f>'Fama-French Data'!F177</f>
        <v>-2.35E-2</v>
      </c>
      <c r="M177">
        <f t="shared" si="17"/>
        <v>1869.9724627450619</v>
      </c>
      <c r="N177">
        <f t="shared" si="18"/>
        <v>1650.169598091702</v>
      </c>
      <c r="O177">
        <f t="shared" si="19"/>
        <v>1876.4891565416374</v>
      </c>
    </row>
    <row r="178" spans="1:15" x14ac:dyDescent="0.25">
      <c r="A178" s="3">
        <v>41180</v>
      </c>
      <c r="B178" s="1">
        <v>2.0428000000000002E-2</v>
      </c>
      <c r="C178" s="1">
        <v>2.2096999999999999E-2</v>
      </c>
      <c r="D178" s="1">
        <v>2.5930999999999999E-2</v>
      </c>
      <c r="E178" s="1">
        <f>'Fama-French Data'!D178</f>
        <v>1E-4</v>
      </c>
      <c r="F178">
        <f t="shared" si="14"/>
        <v>2.0328000000000002E-2</v>
      </c>
      <c r="G178">
        <f t="shared" si="15"/>
        <v>2.1996999999999999E-2</v>
      </c>
      <c r="H178">
        <f t="shared" si="16"/>
        <v>2.5831E-2</v>
      </c>
      <c r="I178" s="1">
        <f>'Fama-French Data'!A178</f>
        <v>2.7300000000000001E-2</v>
      </c>
      <c r="J178" s="1">
        <f>'Fama-French Data'!B178</f>
        <v>4.4999999999999997E-3</v>
      </c>
      <c r="K178" s="1">
        <f>'Fama-French Data'!C178</f>
        <v>1.6199999999999999E-2</v>
      </c>
      <c r="L178">
        <f>'Fama-French Data'!F178</f>
        <v>-1.1299999999999999E-2</v>
      </c>
      <c r="M178">
        <f t="shared" si="17"/>
        <v>1908.1722602140178</v>
      </c>
      <c r="N178">
        <f t="shared" si="18"/>
        <v>1686.6333957007344</v>
      </c>
      <c r="O178">
        <f t="shared" si="19"/>
        <v>1925.1483968599184</v>
      </c>
    </row>
    <row r="179" spans="1:15" x14ac:dyDescent="0.25">
      <c r="A179" s="3">
        <v>41213</v>
      </c>
      <c r="B179" s="1">
        <v>-1.5606E-2</v>
      </c>
      <c r="C179" s="1">
        <v>-4.1041000000000001E-2</v>
      </c>
      <c r="D179" s="1">
        <v>-1.8009000000000001E-2</v>
      </c>
      <c r="E179" s="1">
        <f>'Fama-French Data'!D179</f>
        <v>1E-4</v>
      </c>
      <c r="F179">
        <f t="shared" si="14"/>
        <v>-1.5706000000000001E-2</v>
      </c>
      <c r="G179">
        <f t="shared" si="15"/>
        <v>-4.1141000000000004E-2</v>
      </c>
      <c r="H179">
        <f t="shared" si="16"/>
        <v>-1.8109E-2</v>
      </c>
      <c r="I179" s="1">
        <f>'Fama-French Data'!A179</f>
        <v>-1.7600000000000001E-2</v>
      </c>
      <c r="J179" s="1">
        <f>'Fama-French Data'!B179</f>
        <v>-1.09E-2</v>
      </c>
      <c r="K179" s="1">
        <f>'Fama-French Data'!C179</f>
        <v>3.5200000000000002E-2</v>
      </c>
      <c r="L179">
        <f>'Fama-French Data'!F179</f>
        <v>5.0000000000000001E-4</v>
      </c>
      <c r="M179">
        <f t="shared" si="17"/>
        <v>1878.3933239211178</v>
      </c>
      <c r="N179">
        <f t="shared" si="18"/>
        <v>1617.4122745077805</v>
      </c>
      <c r="O179">
        <f t="shared" si="19"/>
        <v>1890.478399380868</v>
      </c>
    </row>
    <row r="180" spans="1:15" x14ac:dyDescent="0.25">
      <c r="A180" s="3">
        <v>41243</v>
      </c>
      <c r="B180" s="1">
        <v>1.2805E-2</v>
      </c>
      <c r="C180" s="1">
        <v>2.4455000000000001E-2</v>
      </c>
      <c r="D180" s="1">
        <v>6.228E-3</v>
      </c>
      <c r="E180" s="1">
        <f>'Fama-French Data'!D180</f>
        <v>1E-4</v>
      </c>
      <c r="F180">
        <f t="shared" si="14"/>
        <v>1.2705000000000001E-2</v>
      </c>
      <c r="G180">
        <f t="shared" si="15"/>
        <v>2.4355000000000002E-2</v>
      </c>
      <c r="H180">
        <f t="shared" si="16"/>
        <v>6.1279999999999998E-3</v>
      </c>
      <c r="I180" s="1">
        <f>'Fama-French Data'!A180</f>
        <v>7.7999999999999996E-3</v>
      </c>
      <c r="J180" s="1">
        <f>'Fama-French Data'!B180</f>
        <v>6.0000000000000001E-3</v>
      </c>
      <c r="K180" s="1">
        <f>'Fama-French Data'!C180</f>
        <v>-8.6E-3</v>
      </c>
      <c r="L180">
        <f>'Fama-French Data'!F180</f>
        <v>5.3E-3</v>
      </c>
      <c r="M180">
        <f t="shared" si="17"/>
        <v>1902.4461504339276</v>
      </c>
      <c r="N180">
        <f t="shared" si="18"/>
        <v>1656.966091680868</v>
      </c>
      <c r="O180">
        <f t="shared" si="19"/>
        <v>1902.2522988522119</v>
      </c>
    </row>
    <row r="181" spans="1:15" x14ac:dyDescent="0.25">
      <c r="A181" s="3">
        <v>41274</v>
      </c>
      <c r="B181" s="1">
        <v>1.0155000000000001E-2</v>
      </c>
      <c r="C181" s="1">
        <v>-3.0569999999999998E-3</v>
      </c>
      <c r="D181" s="1">
        <v>8.5690000000000002E-3</v>
      </c>
      <c r="E181" s="1">
        <f>'Fama-French Data'!D181</f>
        <v>1E-4</v>
      </c>
      <c r="F181">
        <f t="shared" si="14"/>
        <v>1.0055000000000001E-2</v>
      </c>
      <c r="G181">
        <f t="shared" si="15"/>
        <v>-3.1569999999999997E-3</v>
      </c>
      <c r="H181">
        <f t="shared" si="16"/>
        <v>8.4690000000000008E-3</v>
      </c>
      <c r="I181" s="1">
        <f>'Fama-French Data'!A181</f>
        <v>1.18E-2</v>
      </c>
      <c r="J181" s="1">
        <f>'Fama-French Data'!B181</f>
        <v>1.4999999999999999E-2</v>
      </c>
      <c r="K181" s="1">
        <f>'Fama-French Data'!C181</f>
        <v>3.4799999999999998E-2</v>
      </c>
      <c r="L181">
        <f>'Fama-French Data'!F181</f>
        <v>-2.93E-2</v>
      </c>
      <c r="M181">
        <f t="shared" si="17"/>
        <v>1921.765491091584</v>
      </c>
      <c r="N181">
        <f t="shared" si="18"/>
        <v>1651.9007463385997</v>
      </c>
      <c r="O181">
        <f t="shared" si="19"/>
        <v>1918.5526988010765</v>
      </c>
    </row>
    <row r="182" spans="1:15" x14ac:dyDescent="0.25">
      <c r="A182" s="3">
        <v>41305</v>
      </c>
      <c r="B182" s="1">
        <v>6.0095999999999997E-2</v>
      </c>
      <c r="C182" s="1">
        <v>4.7388E-2</v>
      </c>
      <c r="D182" s="1">
        <v>5.1677000000000001E-2</v>
      </c>
      <c r="E182" s="1">
        <f>'Fama-French Data'!D182</f>
        <v>0</v>
      </c>
      <c r="F182">
        <f t="shared" si="14"/>
        <v>6.0095999999999997E-2</v>
      </c>
      <c r="G182">
        <f t="shared" si="15"/>
        <v>4.7388E-2</v>
      </c>
      <c r="H182">
        <f t="shared" si="16"/>
        <v>5.1677000000000001E-2</v>
      </c>
      <c r="I182" s="1">
        <f>'Fama-French Data'!A182</f>
        <v>5.57E-2</v>
      </c>
      <c r="J182" s="1">
        <f>'Fama-French Data'!B182</f>
        <v>2.8999999999999998E-3</v>
      </c>
      <c r="K182" s="1">
        <f>'Fama-French Data'!C182</f>
        <v>1.01E-2</v>
      </c>
      <c r="L182">
        <f>'Fama-French Data'!F182</f>
        <v>-1.8200000000000001E-2</v>
      </c>
      <c r="M182">
        <f t="shared" si="17"/>
        <v>2037.2559100442236</v>
      </c>
      <c r="N182">
        <f t="shared" si="18"/>
        <v>1730.1810189060932</v>
      </c>
      <c r="O182">
        <f t="shared" si="19"/>
        <v>2017.6977466170197</v>
      </c>
    </row>
    <row r="183" spans="1:15" x14ac:dyDescent="0.25">
      <c r="A183" s="3">
        <v>41333</v>
      </c>
      <c r="B183" s="1">
        <v>1.4172000000000001E-2</v>
      </c>
      <c r="C183" s="1">
        <v>6.9610000000000002E-3</v>
      </c>
      <c r="D183" s="1">
        <v>1.3342E-2</v>
      </c>
      <c r="E183" s="1">
        <f>'Fama-French Data'!D183</f>
        <v>0</v>
      </c>
      <c r="F183">
        <f t="shared" si="14"/>
        <v>1.4172000000000001E-2</v>
      </c>
      <c r="G183">
        <f t="shared" si="15"/>
        <v>6.9610000000000002E-3</v>
      </c>
      <c r="H183">
        <f t="shared" si="16"/>
        <v>1.3342E-2</v>
      </c>
      <c r="I183" s="1">
        <f>'Fama-French Data'!A183</f>
        <v>1.2800000000000001E-2</v>
      </c>
      <c r="J183" s="1">
        <f>'Fama-French Data'!B183</f>
        <v>-3.0000000000000001E-3</v>
      </c>
      <c r="K183" s="1">
        <f>'Fama-French Data'!C183</f>
        <v>2.0999999999999999E-3</v>
      </c>
      <c r="L183">
        <f>'Fama-French Data'!F183</f>
        <v>1.23E-2</v>
      </c>
      <c r="M183">
        <f t="shared" si="17"/>
        <v>2066.1279008013703</v>
      </c>
      <c r="N183">
        <f t="shared" si="18"/>
        <v>1742.2248089786985</v>
      </c>
      <c r="O183">
        <f t="shared" si="19"/>
        <v>2044.6178699523839</v>
      </c>
    </row>
    <row r="184" spans="1:15" x14ac:dyDescent="0.25">
      <c r="A184" s="3">
        <v>41361</v>
      </c>
      <c r="B184" s="1">
        <v>4.2202000000000003E-2</v>
      </c>
      <c r="C184" s="1">
        <v>3.3410000000000002E-2</v>
      </c>
      <c r="D184" s="1">
        <v>3.7276999999999998E-2</v>
      </c>
      <c r="E184" s="1">
        <f>'Fama-French Data'!D184</f>
        <v>0</v>
      </c>
      <c r="F184">
        <f t="shared" si="14"/>
        <v>4.2202000000000003E-2</v>
      </c>
      <c r="G184">
        <f t="shared" si="15"/>
        <v>3.3410000000000002E-2</v>
      </c>
      <c r="H184">
        <f t="shared" si="16"/>
        <v>3.7276999999999998E-2</v>
      </c>
      <c r="I184" s="1">
        <f>'Fama-French Data'!A184</f>
        <v>4.0399999999999998E-2</v>
      </c>
      <c r="J184" s="1">
        <f>'Fama-French Data'!B184</f>
        <v>8.3000000000000001E-3</v>
      </c>
      <c r="K184" s="1">
        <f>'Fama-French Data'!C184</f>
        <v>-2.2000000000000001E-3</v>
      </c>
      <c r="L184">
        <f>'Fama-French Data'!F184</f>
        <v>1.9199999999999998E-2</v>
      </c>
      <c r="M184">
        <f t="shared" si="17"/>
        <v>2153.3226304709897</v>
      </c>
      <c r="N184">
        <f t="shared" si="18"/>
        <v>1800.4325398466767</v>
      </c>
      <c r="O184">
        <f t="shared" si="19"/>
        <v>2120.8350902905991</v>
      </c>
    </row>
    <row r="185" spans="1:15" x14ac:dyDescent="0.25">
      <c r="A185" s="3">
        <v>41394</v>
      </c>
      <c r="B185" s="1">
        <v>1.1815000000000001E-2</v>
      </c>
      <c r="C185" s="1">
        <v>2.3411000000000001E-2</v>
      </c>
      <c r="D185" s="1">
        <v>1.8644999999999998E-2</v>
      </c>
      <c r="E185" s="1">
        <f>'Fama-French Data'!D185</f>
        <v>0</v>
      </c>
      <c r="F185">
        <f t="shared" si="14"/>
        <v>1.1815000000000001E-2</v>
      </c>
      <c r="G185">
        <f t="shared" si="15"/>
        <v>2.3411000000000001E-2</v>
      </c>
      <c r="H185">
        <f t="shared" si="16"/>
        <v>1.8644999999999998E-2</v>
      </c>
      <c r="I185" s="1">
        <f>'Fama-French Data'!A185</f>
        <v>1.5599999999999999E-2</v>
      </c>
      <c r="J185" s="1">
        <f>'Fama-French Data'!B185</f>
        <v>-2.3699999999999999E-2</v>
      </c>
      <c r="K185" s="1">
        <f>'Fama-French Data'!C185</f>
        <v>4.4000000000000003E-3</v>
      </c>
      <c r="L185">
        <f>'Fama-French Data'!F185</f>
        <v>2.2000000000000001E-3</v>
      </c>
      <c r="M185">
        <f t="shared" si="17"/>
        <v>2178.7641373500041</v>
      </c>
      <c r="N185">
        <f t="shared" si="18"/>
        <v>1842.5824660370274</v>
      </c>
      <c r="O185">
        <f t="shared" si="19"/>
        <v>2160.3780605490674</v>
      </c>
    </row>
    <row r="186" spans="1:15" x14ac:dyDescent="0.25">
      <c r="A186" s="3">
        <v>41425</v>
      </c>
      <c r="B186" s="1">
        <v>3.5562999999999997E-2</v>
      </c>
      <c r="C186" s="1">
        <v>7.2620000000000002E-3</v>
      </c>
      <c r="D186" s="1">
        <v>2.3185000000000001E-2</v>
      </c>
      <c r="E186" s="1">
        <f>'Fama-French Data'!D186</f>
        <v>0</v>
      </c>
      <c r="F186">
        <f t="shared" si="14"/>
        <v>3.5562999999999997E-2</v>
      </c>
      <c r="G186">
        <f t="shared" si="15"/>
        <v>7.2620000000000002E-3</v>
      </c>
      <c r="H186">
        <f t="shared" si="16"/>
        <v>2.3185000000000001E-2</v>
      </c>
      <c r="I186" s="1">
        <f>'Fama-French Data'!A186</f>
        <v>2.8000000000000001E-2</v>
      </c>
      <c r="J186" s="1">
        <f>'Fama-French Data'!B186</f>
        <v>1.7000000000000001E-2</v>
      </c>
      <c r="K186" s="1">
        <f>'Fama-French Data'!C186</f>
        <v>2.6700000000000002E-2</v>
      </c>
      <c r="L186">
        <f>'Fama-French Data'!F186</f>
        <v>-2.01E-2</v>
      </c>
      <c r="M186">
        <f t="shared" si="17"/>
        <v>2256.2475263665824</v>
      </c>
      <c r="N186">
        <f t="shared" si="18"/>
        <v>1855.9632999053886</v>
      </c>
      <c r="O186">
        <f t="shared" si="19"/>
        <v>2210.4664258828975</v>
      </c>
    </row>
    <row r="187" spans="1:15" x14ac:dyDescent="0.25">
      <c r="A187" s="3">
        <v>41453</v>
      </c>
      <c r="B187" s="1">
        <v>-1.1276E-2</v>
      </c>
      <c r="C187" s="1">
        <v>-1.2978E-2</v>
      </c>
      <c r="D187" s="1">
        <v>-1.3481999999999999E-2</v>
      </c>
      <c r="E187" s="1">
        <f>'Fama-French Data'!D187</f>
        <v>0</v>
      </c>
      <c r="F187">
        <f t="shared" si="14"/>
        <v>-1.1276E-2</v>
      </c>
      <c r="G187">
        <f t="shared" si="15"/>
        <v>-1.2978E-2</v>
      </c>
      <c r="H187">
        <f t="shared" si="16"/>
        <v>-1.3481999999999999E-2</v>
      </c>
      <c r="I187" s="1">
        <f>'Fama-French Data'!A187</f>
        <v>-1.2E-2</v>
      </c>
      <c r="J187" s="1">
        <f>'Fama-French Data'!B187</f>
        <v>1.3100000000000001E-2</v>
      </c>
      <c r="K187" s="1">
        <f>'Fama-French Data'!C187</f>
        <v>-5.0000000000000001E-4</v>
      </c>
      <c r="L187">
        <f>'Fama-French Data'!F187</f>
        <v>4.3E-3</v>
      </c>
      <c r="M187">
        <f t="shared" si="17"/>
        <v>2230.8060792592728</v>
      </c>
      <c r="N187">
        <f t="shared" si="18"/>
        <v>1831.8766081992164</v>
      </c>
      <c r="O187">
        <f t="shared" si="19"/>
        <v>2180.6649175291441</v>
      </c>
    </row>
    <row r="188" spans="1:15" x14ac:dyDescent="0.25">
      <c r="A188" s="3">
        <v>41486</v>
      </c>
      <c r="B188" s="1">
        <v>6.2304999999999999E-2</v>
      </c>
      <c r="C188" s="1">
        <v>4.9306000000000003E-2</v>
      </c>
      <c r="D188" s="1">
        <v>5.0698E-2</v>
      </c>
      <c r="E188" s="1">
        <f>'Fama-French Data'!D188</f>
        <v>0</v>
      </c>
      <c r="F188">
        <f t="shared" si="14"/>
        <v>6.2304999999999999E-2</v>
      </c>
      <c r="G188">
        <f t="shared" si="15"/>
        <v>4.9306000000000003E-2</v>
      </c>
      <c r="H188">
        <f t="shared" si="16"/>
        <v>5.0698E-2</v>
      </c>
      <c r="I188" s="1">
        <f>'Fama-French Data'!A188</f>
        <v>5.6500000000000002E-2</v>
      </c>
      <c r="J188" s="1">
        <f>'Fama-French Data'!B188</f>
        <v>1.8100000000000002E-2</v>
      </c>
      <c r="K188" s="1">
        <f>'Fama-French Data'!C188</f>
        <v>5.7999999999999996E-3</v>
      </c>
      <c r="L188">
        <f>'Fama-French Data'!F188</f>
        <v>1.7399999999999999E-2</v>
      </c>
      <c r="M188">
        <f t="shared" si="17"/>
        <v>2369.7964520275218</v>
      </c>
      <c r="N188">
        <f t="shared" si="18"/>
        <v>1922.199116243087</v>
      </c>
      <c r="O188">
        <f t="shared" si="19"/>
        <v>2291.2202675180365</v>
      </c>
    </row>
    <row r="189" spans="1:15" x14ac:dyDescent="0.25">
      <c r="A189" s="3">
        <v>41516</v>
      </c>
      <c r="B189" s="1">
        <v>-2.5904E-2</v>
      </c>
      <c r="C189" s="1">
        <v>-8.7019999999999997E-3</v>
      </c>
      <c r="D189" s="1">
        <v>-2.9471000000000001E-2</v>
      </c>
      <c r="E189" s="1">
        <f>'Fama-French Data'!D189</f>
        <v>0</v>
      </c>
      <c r="F189">
        <f t="shared" si="14"/>
        <v>-2.5904E-2</v>
      </c>
      <c r="G189">
        <f t="shared" si="15"/>
        <v>-8.7019999999999997E-3</v>
      </c>
      <c r="H189">
        <f t="shared" si="16"/>
        <v>-2.9471000000000001E-2</v>
      </c>
      <c r="I189" s="1">
        <f>'Fama-French Data'!A189</f>
        <v>-2.7099999999999999E-2</v>
      </c>
      <c r="J189" s="1">
        <f>'Fama-French Data'!B189</f>
        <v>3.2000000000000002E-3</v>
      </c>
      <c r="K189" s="1">
        <f>'Fama-French Data'!C189</f>
        <v>-2.7300000000000001E-2</v>
      </c>
      <c r="L189">
        <f>'Fama-French Data'!F189</f>
        <v>4.0000000000000002E-4</v>
      </c>
      <c r="M189">
        <f t="shared" si="17"/>
        <v>2308.4092447342009</v>
      </c>
      <c r="N189">
        <f t="shared" si="18"/>
        <v>1905.4721395335398</v>
      </c>
      <c r="O189">
        <f t="shared" si="19"/>
        <v>2223.6957150140124</v>
      </c>
    </row>
    <row r="190" spans="1:15" x14ac:dyDescent="0.25">
      <c r="A190" s="3">
        <v>41547</v>
      </c>
      <c r="B190" s="1">
        <v>3.2112000000000002E-2</v>
      </c>
      <c r="C190" s="1">
        <v>6.6011E-2</v>
      </c>
      <c r="D190" s="1">
        <v>3.0943999999999999E-2</v>
      </c>
      <c r="E190" s="1">
        <f>'Fama-French Data'!D190</f>
        <v>0</v>
      </c>
      <c r="F190">
        <f t="shared" si="14"/>
        <v>3.2112000000000002E-2</v>
      </c>
      <c r="G190">
        <f t="shared" si="15"/>
        <v>6.6011E-2</v>
      </c>
      <c r="H190">
        <f t="shared" si="16"/>
        <v>3.0943999999999999E-2</v>
      </c>
      <c r="I190" s="1">
        <f>'Fama-French Data'!A190</f>
        <v>3.7699999999999997E-2</v>
      </c>
      <c r="J190" s="1">
        <f>'Fama-French Data'!B190</f>
        <v>2.8899999999999999E-2</v>
      </c>
      <c r="K190" s="1">
        <f>'Fama-French Data'!C190</f>
        <v>-1.18E-2</v>
      </c>
      <c r="L190">
        <f>'Fama-French Data'!F190</f>
        <v>3.0200000000000001E-2</v>
      </c>
      <c r="M190">
        <f t="shared" si="17"/>
        <v>2382.5368824011052</v>
      </c>
      <c r="N190">
        <f t="shared" si="18"/>
        <v>2031.2542609362883</v>
      </c>
      <c r="O190">
        <f t="shared" si="19"/>
        <v>2292.5057552194062</v>
      </c>
    </row>
    <row r="191" spans="1:15" x14ac:dyDescent="0.25">
      <c r="A191" s="3">
        <v>41578</v>
      </c>
      <c r="B191" s="1">
        <v>4.1383000000000003E-2</v>
      </c>
      <c r="C191" s="1">
        <v>4.7100999999999997E-2</v>
      </c>
      <c r="D191" s="1">
        <v>4.5494E-2</v>
      </c>
      <c r="E191" s="1">
        <f>'Fama-French Data'!D191</f>
        <v>0</v>
      </c>
      <c r="F191">
        <f t="shared" si="14"/>
        <v>4.1383000000000003E-2</v>
      </c>
      <c r="G191">
        <f t="shared" si="15"/>
        <v>4.7100999999999997E-2</v>
      </c>
      <c r="H191">
        <f t="shared" si="16"/>
        <v>4.5494E-2</v>
      </c>
      <c r="I191" s="1">
        <f>'Fama-French Data'!A191</f>
        <v>4.1700000000000001E-2</v>
      </c>
      <c r="J191" s="1">
        <f>'Fama-French Data'!B191</f>
        <v>-1.5599999999999999E-2</v>
      </c>
      <c r="K191" s="1">
        <f>'Fama-French Data'!C191</f>
        <v>1.2200000000000001E-2</v>
      </c>
      <c r="L191">
        <f>'Fama-French Data'!F191</f>
        <v>2.0000000000000001E-4</v>
      </c>
      <c r="M191">
        <f t="shared" si="17"/>
        <v>2481.1334062055103</v>
      </c>
      <c r="N191">
        <f t="shared" si="18"/>
        <v>2126.9283678806487</v>
      </c>
      <c r="O191">
        <f t="shared" si="19"/>
        <v>2396.8010120473577</v>
      </c>
    </row>
    <row r="192" spans="1:15" x14ac:dyDescent="0.25">
      <c r="A192" s="3">
        <v>41607</v>
      </c>
      <c r="B192" s="1">
        <v>3.0387999999999998E-2</v>
      </c>
      <c r="C192" s="1">
        <v>2.9569000000000002E-2</v>
      </c>
      <c r="D192" s="1">
        <v>3.0421E-2</v>
      </c>
      <c r="E192" s="1">
        <f>'Fama-French Data'!D192</f>
        <v>0</v>
      </c>
      <c r="F192">
        <f t="shared" si="14"/>
        <v>3.0387999999999998E-2</v>
      </c>
      <c r="G192">
        <f t="shared" si="15"/>
        <v>2.9569000000000002E-2</v>
      </c>
      <c r="H192">
        <f t="shared" si="16"/>
        <v>3.0421E-2</v>
      </c>
      <c r="I192" s="1">
        <f>'Fama-French Data'!A192</f>
        <v>3.1099999999999999E-2</v>
      </c>
      <c r="J192" s="1">
        <f>'Fama-French Data'!B192</f>
        <v>1.3100000000000001E-2</v>
      </c>
      <c r="K192" s="1">
        <f>'Fama-French Data'!C192</f>
        <v>1.9E-3</v>
      </c>
      <c r="L192">
        <f>'Fama-French Data'!F192</f>
        <v>3.8999999999999998E-3</v>
      </c>
      <c r="M192">
        <f t="shared" si="17"/>
        <v>2556.5300881532835</v>
      </c>
      <c r="N192">
        <f t="shared" si="18"/>
        <v>2189.8195127905115</v>
      </c>
      <c r="O192">
        <f t="shared" si="19"/>
        <v>2469.7140956348503</v>
      </c>
    </row>
    <row r="193" spans="1:15" x14ac:dyDescent="0.25">
      <c r="A193" s="3">
        <v>41639</v>
      </c>
      <c r="B193" s="1">
        <v>3.0457000000000001E-2</v>
      </c>
      <c r="C193" s="1">
        <v>3.9483999999999998E-2</v>
      </c>
      <c r="D193" s="1">
        <v>2.5396999999999999E-2</v>
      </c>
      <c r="E193" s="1">
        <f>'Fama-French Data'!D193</f>
        <v>0</v>
      </c>
      <c r="F193">
        <f t="shared" si="14"/>
        <v>3.0457000000000001E-2</v>
      </c>
      <c r="G193">
        <f t="shared" si="15"/>
        <v>3.9483999999999998E-2</v>
      </c>
      <c r="H193">
        <f t="shared" si="16"/>
        <v>2.5396999999999999E-2</v>
      </c>
      <c r="I193" s="1">
        <f>'Fama-French Data'!A193</f>
        <v>2.81E-2</v>
      </c>
      <c r="J193" s="1">
        <f>'Fama-French Data'!B193</f>
        <v>-4.4000000000000003E-3</v>
      </c>
      <c r="K193" s="1">
        <f>'Fama-French Data'!C193</f>
        <v>0</v>
      </c>
      <c r="L193">
        <f>'Fama-French Data'!F193</f>
        <v>2.0000000000000001E-4</v>
      </c>
      <c r="M193">
        <f t="shared" si="17"/>
        <v>2634.394325048168</v>
      </c>
      <c r="N193">
        <f t="shared" si="18"/>
        <v>2276.282346433532</v>
      </c>
      <c r="O193">
        <f t="shared" si="19"/>
        <v>2532.4374245216882</v>
      </c>
    </row>
    <row r="194" spans="1:15" x14ac:dyDescent="0.25">
      <c r="A194" s="3">
        <v>41670</v>
      </c>
      <c r="B194" s="1">
        <v>-5.1984000000000002E-2</v>
      </c>
      <c r="C194" s="1">
        <v>-8.5109999999999995E-3</v>
      </c>
      <c r="D194" s="1">
        <v>-3.6124999999999997E-2</v>
      </c>
      <c r="E194" s="1">
        <f>'Fama-French Data'!D194</f>
        <v>0</v>
      </c>
      <c r="F194">
        <f t="shared" ref="F194:F257" si="20">B194-$E194</f>
        <v>-5.1984000000000002E-2</v>
      </c>
      <c r="G194">
        <f t="shared" ref="G194:G257" si="21">C194-$E194</f>
        <v>-8.5109999999999995E-3</v>
      </c>
      <c r="H194">
        <f t="shared" ref="H194:H257" si="22">D194-$E194</f>
        <v>-3.6124999999999997E-2</v>
      </c>
      <c r="I194" s="1">
        <f>'Fama-French Data'!A194</f>
        <v>-3.32E-2</v>
      </c>
      <c r="J194" s="1">
        <f>'Fama-French Data'!B194</f>
        <v>9.2999999999999992E-3</v>
      </c>
      <c r="K194" s="1">
        <f>'Fama-French Data'!C194</f>
        <v>-1.9900000000000001E-2</v>
      </c>
      <c r="L194">
        <f>'Fama-French Data'!F194</f>
        <v>1.61E-2</v>
      </c>
      <c r="M194">
        <f t="shared" si="17"/>
        <v>2497.4479704548639</v>
      </c>
      <c r="N194">
        <f t="shared" si="18"/>
        <v>2256.908907383036</v>
      </c>
      <c r="O194">
        <f t="shared" si="19"/>
        <v>2440.9531225608421</v>
      </c>
    </row>
    <row r="195" spans="1:15" x14ac:dyDescent="0.25">
      <c r="A195" s="3">
        <v>41698</v>
      </c>
      <c r="B195" s="1">
        <v>4.9542999999999997E-2</v>
      </c>
      <c r="C195" s="1">
        <v>5.8435000000000001E-2</v>
      </c>
      <c r="D195" s="1">
        <v>4.5253000000000002E-2</v>
      </c>
      <c r="E195" s="1">
        <f>'Fama-French Data'!D195</f>
        <v>0</v>
      </c>
      <c r="F195">
        <f t="shared" si="20"/>
        <v>4.9542999999999997E-2</v>
      </c>
      <c r="G195">
        <f t="shared" si="21"/>
        <v>5.8435000000000001E-2</v>
      </c>
      <c r="H195">
        <f t="shared" si="22"/>
        <v>4.5253000000000002E-2</v>
      </c>
      <c r="I195" s="1">
        <f>'Fama-French Data'!A195</f>
        <v>4.6600000000000003E-2</v>
      </c>
      <c r="J195" s="1">
        <f>'Fama-French Data'!B195</f>
        <v>3.5999999999999999E-3</v>
      </c>
      <c r="K195" s="1">
        <f>'Fama-French Data'!C195</f>
        <v>-3.5000000000000001E-3</v>
      </c>
      <c r="L195">
        <f>'Fama-French Data'!F195</f>
        <v>2.1299999999999999E-2</v>
      </c>
      <c r="M195">
        <f t="shared" si="17"/>
        <v>2621.1790352551088</v>
      </c>
      <c r="N195">
        <f t="shared" si="18"/>
        <v>2388.7913793859639</v>
      </c>
      <c r="O195">
        <f t="shared" si="19"/>
        <v>2551.4135742160879</v>
      </c>
    </row>
    <row r="196" spans="1:15" x14ac:dyDescent="0.25">
      <c r="A196" s="3">
        <v>41729</v>
      </c>
      <c r="B196" s="1">
        <v>6.0949999999999997E-3</v>
      </c>
      <c r="C196" s="1">
        <v>-3.8365999999999997E-2</v>
      </c>
      <c r="D196" s="1">
        <v>8.574E-3</v>
      </c>
      <c r="E196" s="1">
        <f>'Fama-French Data'!D196</f>
        <v>0</v>
      </c>
      <c r="F196">
        <f t="shared" si="20"/>
        <v>6.0949999999999997E-3</v>
      </c>
      <c r="G196">
        <f t="shared" si="21"/>
        <v>-3.8365999999999997E-2</v>
      </c>
      <c r="H196">
        <f t="shared" si="22"/>
        <v>8.574E-3</v>
      </c>
      <c r="I196" s="1">
        <f>'Fama-French Data'!A196</f>
        <v>4.3E-3</v>
      </c>
      <c r="J196" s="1">
        <f>'Fama-French Data'!B196</f>
        <v>-1.8599999999999998E-2</v>
      </c>
      <c r="K196" s="1">
        <f>'Fama-French Data'!C196</f>
        <v>4.9000000000000002E-2</v>
      </c>
      <c r="L196">
        <f>'Fama-French Data'!F196</f>
        <v>-3.27E-2</v>
      </c>
      <c r="M196">
        <f t="shared" ref="M196:M259" si="23">M195*(B196+1)</f>
        <v>2637.1551214749884</v>
      </c>
      <c r="N196">
        <f t="shared" ref="N196:N259" si="24">N195*(C196+1)</f>
        <v>2297.1430093244421</v>
      </c>
      <c r="O196">
        <f t="shared" ref="O196:O259" si="25">O195*(D196+1)</f>
        <v>2573.2893942014171</v>
      </c>
    </row>
    <row r="197" spans="1:15" x14ac:dyDescent="0.25">
      <c r="A197" s="3">
        <v>41759</v>
      </c>
      <c r="B197" s="1">
        <v>3.65E-3</v>
      </c>
      <c r="C197" s="1">
        <v>-1.1677E-2</v>
      </c>
      <c r="D197" s="1">
        <v>7.4029999999999999E-3</v>
      </c>
      <c r="E197" s="1">
        <f>'Fama-French Data'!D197</f>
        <v>0</v>
      </c>
      <c r="F197">
        <f t="shared" si="20"/>
        <v>3.65E-3</v>
      </c>
      <c r="G197">
        <f t="shared" si="21"/>
        <v>-1.1677E-2</v>
      </c>
      <c r="H197">
        <f t="shared" si="22"/>
        <v>7.4029999999999999E-3</v>
      </c>
      <c r="I197" s="1">
        <f>'Fama-French Data'!A197</f>
        <v>-1.8E-3</v>
      </c>
      <c r="J197" s="1">
        <f>'Fama-French Data'!B197</f>
        <v>-4.1799999999999997E-2</v>
      </c>
      <c r="K197" s="1">
        <f>'Fama-French Data'!C197</f>
        <v>1.2200000000000001E-2</v>
      </c>
      <c r="L197">
        <f>'Fama-French Data'!F197</f>
        <v>-3.8199999999999998E-2</v>
      </c>
      <c r="M197">
        <f t="shared" si="23"/>
        <v>2646.7807376683718</v>
      </c>
      <c r="N197">
        <f t="shared" si="24"/>
        <v>2270.3192704045605</v>
      </c>
      <c r="O197">
        <f t="shared" si="25"/>
        <v>2592.3394555866903</v>
      </c>
    </row>
    <row r="198" spans="1:15" x14ac:dyDescent="0.25">
      <c r="A198" s="3">
        <v>41789</v>
      </c>
      <c r="B198" s="1">
        <v>2.1364000000000001E-2</v>
      </c>
      <c r="C198" s="1">
        <v>3.5117000000000002E-2</v>
      </c>
      <c r="D198" s="1">
        <v>2.2835000000000001E-2</v>
      </c>
      <c r="E198" s="1">
        <f>'Fama-French Data'!D198</f>
        <v>0</v>
      </c>
      <c r="F198">
        <f t="shared" si="20"/>
        <v>2.1364000000000001E-2</v>
      </c>
      <c r="G198">
        <f t="shared" si="21"/>
        <v>3.5117000000000002E-2</v>
      </c>
      <c r="H198">
        <f t="shared" si="22"/>
        <v>2.2835000000000001E-2</v>
      </c>
      <c r="I198" s="1">
        <f>'Fama-French Data'!A198</f>
        <v>2.0500000000000001E-2</v>
      </c>
      <c r="J198" s="1">
        <f>'Fama-French Data'!B198</f>
        <v>-1.8499999999999999E-2</v>
      </c>
      <c r="K198" s="1">
        <f>'Fama-French Data'!C198</f>
        <v>-1E-3</v>
      </c>
      <c r="L198">
        <f>'Fama-French Data'!F198</f>
        <v>8.8999999999999999E-3</v>
      </c>
      <c r="M198">
        <f t="shared" si="23"/>
        <v>2703.3265613479189</v>
      </c>
      <c r="N198">
        <f t="shared" si="24"/>
        <v>2350.0460722233574</v>
      </c>
      <c r="O198">
        <f t="shared" si="25"/>
        <v>2651.5355270550122</v>
      </c>
    </row>
    <row r="199" spans="1:15" x14ac:dyDescent="0.25">
      <c r="A199" s="3">
        <v>41820</v>
      </c>
      <c r="B199" s="1">
        <v>2.4166E-2</v>
      </c>
      <c r="C199" s="1">
        <v>1.3316E-2</v>
      </c>
      <c r="D199" s="1">
        <v>1.9932999999999999E-2</v>
      </c>
      <c r="E199" s="1">
        <f>'Fama-French Data'!D199</f>
        <v>0</v>
      </c>
      <c r="F199">
        <f t="shared" si="20"/>
        <v>2.4166E-2</v>
      </c>
      <c r="G199">
        <f t="shared" si="21"/>
        <v>1.3316E-2</v>
      </c>
      <c r="H199">
        <f t="shared" si="22"/>
        <v>1.9932999999999999E-2</v>
      </c>
      <c r="I199" s="1">
        <f>'Fama-French Data'!A199</f>
        <v>2.5999999999999999E-2</v>
      </c>
      <c r="J199" s="1">
        <f>'Fama-French Data'!B199</f>
        <v>3.0499999999999999E-2</v>
      </c>
      <c r="K199" s="1">
        <f>'Fama-French Data'!C199</f>
        <v>-7.1000000000000004E-3</v>
      </c>
      <c r="L199">
        <f>'Fama-French Data'!F199</f>
        <v>6.4999999999999997E-3</v>
      </c>
      <c r="M199">
        <f t="shared" si="23"/>
        <v>2768.6551510294526</v>
      </c>
      <c r="N199">
        <f t="shared" si="24"/>
        <v>2381.3392857210838</v>
      </c>
      <c r="O199">
        <f t="shared" si="25"/>
        <v>2704.3885847157999</v>
      </c>
    </row>
    <row r="200" spans="1:15" x14ac:dyDescent="0.25">
      <c r="A200" s="3">
        <v>41851</v>
      </c>
      <c r="B200" s="1">
        <v>-1.8277000000000002E-2</v>
      </c>
      <c r="C200" s="1">
        <v>-1.8773000000000001E-2</v>
      </c>
      <c r="D200" s="1">
        <v>-1.3639999999999999E-2</v>
      </c>
      <c r="E200" s="1">
        <f>'Fama-French Data'!D200</f>
        <v>0</v>
      </c>
      <c r="F200">
        <f t="shared" si="20"/>
        <v>-1.8277000000000002E-2</v>
      </c>
      <c r="G200">
        <f t="shared" si="21"/>
        <v>-1.8773000000000001E-2</v>
      </c>
      <c r="H200">
        <f t="shared" si="22"/>
        <v>-1.3639999999999999E-2</v>
      </c>
      <c r="I200" s="1">
        <f>'Fama-French Data'!A200</f>
        <v>-2.0299999999999999E-2</v>
      </c>
      <c r="J200" s="1">
        <f>'Fama-French Data'!B200</f>
        <v>-4.1799999999999997E-2</v>
      </c>
      <c r="K200" s="1">
        <f>'Fama-French Data'!C200</f>
        <v>-8.0000000000000004E-4</v>
      </c>
      <c r="L200">
        <f>'Fama-French Data'!F200</f>
        <v>-1.6999999999999999E-3</v>
      </c>
      <c r="M200">
        <f t="shared" si="23"/>
        <v>2718.0524408340871</v>
      </c>
      <c r="N200">
        <f t="shared" si="24"/>
        <v>2336.6344033102419</v>
      </c>
      <c r="O200">
        <f t="shared" si="25"/>
        <v>2667.5007244202766</v>
      </c>
    </row>
    <row r="201" spans="1:15" x14ac:dyDescent="0.25">
      <c r="A201" s="3">
        <v>41880</v>
      </c>
      <c r="B201" s="1">
        <v>4.2110000000000002E-2</v>
      </c>
      <c r="C201" s="1">
        <v>4.8787999999999998E-2</v>
      </c>
      <c r="D201" s="1">
        <v>3.9948999999999998E-2</v>
      </c>
      <c r="E201" s="1">
        <f>'Fama-French Data'!D201</f>
        <v>0</v>
      </c>
      <c r="F201">
        <f t="shared" si="20"/>
        <v>4.2110000000000002E-2</v>
      </c>
      <c r="G201">
        <f t="shared" si="21"/>
        <v>4.8787999999999998E-2</v>
      </c>
      <c r="H201">
        <f t="shared" si="22"/>
        <v>3.9948999999999998E-2</v>
      </c>
      <c r="I201" s="1">
        <f>'Fama-French Data'!A201</f>
        <v>4.24E-2</v>
      </c>
      <c r="J201" s="1">
        <f>'Fama-French Data'!B201</f>
        <v>4.1000000000000003E-3</v>
      </c>
      <c r="K201" s="1">
        <f>'Fama-French Data'!C201</f>
        <v>-5.7000000000000002E-3</v>
      </c>
      <c r="L201">
        <f>'Fama-French Data'!F201</f>
        <v>8.3000000000000001E-3</v>
      </c>
      <c r="M201">
        <f t="shared" si="23"/>
        <v>2832.5096291176105</v>
      </c>
      <c r="N201">
        <f t="shared" si="24"/>
        <v>2450.634122578942</v>
      </c>
      <c r="O201">
        <f t="shared" si="25"/>
        <v>2774.0647108601424</v>
      </c>
    </row>
    <row r="202" spans="1:15" x14ac:dyDescent="0.25">
      <c r="A202" s="3">
        <v>41912</v>
      </c>
      <c r="B202" s="1">
        <v>-3.0498000000000001E-2</v>
      </c>
      <c r="C202" s="1">
        <v>-2.6755999999999999E-2</v>
      </c>
      <c r="D202" s="1">
        <v>-1.4508999999999999E-2</v>
      </c>
      <c r="E202" s="1">
        <f>'Fama-French Data'!D202</f>
        <v>0</v>
      </c>
      <c r="F202">
        <f t="shared" si="20"/>
        <v>-3.0498000000000001E-2</v>
      </c>
      <c r="G202">
        <f t="shared" si="21"/>
        <v>-2.6755999999999999E-2</v>
      </c>
      <c r="H202">
        <f t="shared" si="22"/>
        <v>-1.4508999999999999E-2</v>
      </c>
      <c r="I202" s="1">
        <f>'Fama-French Data'!A202</f>
        <v>-1.9599999999999999E-2</v>
      </c>
      <c r="J202" s="1">
        <f>'Fama-French Data'!B202</f>
        <v>-3.5900000000000001E-2</v>
      </c>
      <c r="K202" s="1">
        <f>'Fama-French Data'!C202</f>
        <v>-1.47E-2</v>
      </c>
      <c r="L202">
        <f>'Fama-French Data'!F202</f>
        <v>6.0000000000000001E-3</v>
      </c>
      <c r="M202">
        <f t="shared" si="23"/>
        <v>2746.1237504487817</v>
      </c>
      <c r="N202">
        <f t="shared" si="24"/>
        <v>2385.0649559952199</v>
      </c>
      <c r="O202">
        <f t="shared" si="25"/>
        <v>2733.8158059702728</v>
      </c>
    </row>
    <row r="203" spans="1:15" x14ac:dyDescent="0.25">
      <c r="A203" s="3">
        <v>41943</v>
      </c>
      <c r="B203" s="1">
        <v>1.6695999999999999E-2</v>
      </c>
      <c r="C203" s="1">
        <v>2.8428999999999999E-2</v>
      </c>
      <c r="D203" s="1">
        <v>2.4586E-2</v>
      </c>
      <c r="E203" s="1">
        <f>'Fama-French Data'!D203</f>
        <v>0</v>
      </c>
      <c r="F203">
        <f t="shared" si="20"/>
        <v>1.6695999999999999E-2</v>
      </c>
      <c r="G203">
        <f t="shared" si="21"/>
        <v>2.8428999999999999E-2</v>
      </c>
      <c r="H203">
        <f t="shared" si="22"/>
        <v>2.4586E-2</v>
      </c>
      <c r="I203" s="1">
        <f>'Fama-French Data'!A203</f>
        <v>2.5100000000000001E-2</v>
      </c>
      <c r="J203" s="1">
        <f>'Fama-French Data'!B203</f>
        <v>4.0500000000000001E-2</v>
      </c>
      <c r="K203" s="1">
        <f>'Fama-French Data'!C203</f>
        <v>-1.6299999999999999E-2</v>
      </c>
      <c r="L203">
        <f>'Fama-French Data'!F203</f>
        <v>-2.0999999999999999E-3</v>
      </c>
      <c r="M203">
        <f t="shared" si="23"/>
        <v>2791.9730325862747</v>
      </c>
      <c r="N203">
        <f t="shared" si="24"/>
        <v>2452.8699676292081</v>
      </c>
      <c r="O203">
        <f t="shared" si="25"/>
        <v>2801.029401375858</v>
      </c>
    </row>
    <row r="204" spans="1:15" x14ac:dyDescent="0.25">
      <c r="A204" s="3">
        <v>41971</v>
      </c>
      <c r="B204" s="1">
        <v>1.5557E-2</v>
      </c>
      <c r="C204" s="1">
        <v>1.5188E-2</v>
      </c>
      <c r="D204" s="1">
        <v>2.7074000000000001E-2</v>
      </c>
      <c r="E204" s="1">
        <f>'Fama-French Data'!D204</f>
        <v>0</v>
      </c>
      <c r="F204">
        <f t="shared" si="20"/>
        <v>1.5557E-2</v>
      </c>
      <c r="G204">
        <f t="shared" si="21"/>
        <v>1.5188E-2</v>
      </c>
      <c r="H204">
        <f t="shared" si="22"/>
        <v>2.7074000000000001E-2</v>
      </c>
      <c r="I204" s="1">
        <f>'Fama-French Data'!A204</f>
        <v>2.5600000000000001E-2</v>
      </c>
      <c r="J204" s="1">
        <f>'Fama-French Data'!B204</f>
        <v>-2.0500000000000001E-2</v>
      </c>
      <c r="K204" s="1">
        <f>'Fama-French Data'!C204</f>
        <v>-3.1300000000000001E-2</v>
      </c>
      <c r="L204">
        <f>'Fama-French Data'!F204</f>
        <v>6.8999999999999999E-3</v>
      </c>
      <c r="M204">
        <f t="shared" si="23"/>
        <v>2835.4077570542195</v>
      </c>
      <c r="N204">
        <f t="shared" si="24"/>
        <v>2490.1241566975605</v>
      </c>
      <c r="O204">
        <f t="shared" si="25"/>
        <v>2876.8644713887079</v>
      </c>
    </row>
    <row r="205" spans="1:15" x14ac:dyDescent="0.25">
      <c r="A205" s="3">
        <v>42004</v>
      </c>
      <c r="B205" s="1">
        <v>-3.8930000000000002E-3</v>
      </c>
      <c r="C205" s="1">
        <v>-9.3690000000000006E-3</v>
      </c>
      <c r="D205" s="1">
        <v>-2.7859999999999998E-3</v>
      </c>
      <c r="E205" s="1">
        <f>'Fama-French Data'!D205</f>
        <v>0</v>
      </c>
      <c r="F205">
        <f t="shared" si="20"/>
        <v>-3.8930000000000002E-3</v>
      </c>
      <c r="G205">
        <f t="shared" si="21"/>
        <v>-9.3690000000000006E-3</v>
      </c>
      <c r="H205">
        <f t="shared" si="22"/>
        <v>-2.7859999999999998E-3</v>
      </c>
      <c r="I205" s="1">
        <f>'Fama-French Data'!A205</f>
        <v>-5.0000000000000001E-4</v>
      </c>
      <c r="J205" s="1">
        <f>'Fama-French Data'!B205</f>
        <v>2.53E-2</v>
      </c>
      <c r="K205" s="1">
        <f>'Fama-French Data'!C205</f>
        <v>2.12E-2</v>
      </c>
      <c r="L205">
        <f>'Fama-French Data'!F205</f>
        <v>1.03E-2</v>
      </c>
      <c r="M205">
        <f t="shared" si="23"/>
        <v>2824.3695146560071</v>
      </c>
      <c r="N205">
        <f t="shared" si="24"/>
        <v>2466.7941834734611</v>
      </c>
      <c r="O205">
        <f t="shared" si="25"/>
        <v>2868.849526971419</v>
      </c>
    </row>
    <row r="206" spans="1:15" x14ac:dyDescent="0.25">
      <c r="A206" s="3">
        <v>42034</v>
      </c>
      <c r="B206" s="1">
        <v>-2.8725000000000001E-2</v>
      </c>
      <c r="C206" s="1">
        <v>-8.4770000000000002E-3</v>
      </c>
      <c r="D206" s="1">
        <v>-2.9894E-2</v>
      </c>
      <c r="E206" s="1">
        <f>'Fama-French Data'!D206</f>
        <v>0</v>
      </c>
      <c r="F206">
        <f t="shared" si="20"/>
        <v>-2.8725000000000001E-2</v>
      </c>
      <c r="G206">
        <f t="shared" si="21"/>
        <v>-8.4770000000000002E-3</v>
      </c>
      <c r="H206">
        <f t="shared" si="22"/>
        <v>-2.9894E-2</v>
      </c>
      <c r="I206" s="1">
        <f>'Fama-French Data'!A206</f>
        <v>-3.1E-2</v>
      </c>
      <c r="J206" s="1">
        <f>'Fama-French Data'!B206</f>
        <v>-5.8999999999999999E-3</v>
      </c>
      <c r="K206" s="1">
        <f>'Fama-French Data'!C206</f>
        <v>-3.4500000000000003E-2</v>
      </c>
      <c r="L206">
        <f>'Fama-French Data'!F206</f>
        <v>3.7400000000000003E-2</v>
      </c>
      <c r="M206">
        <f t="shared" si="23"/>
        <v>2743.2395003475135</v>
      </c>
      <c r="N206">
        <f t="shared" si="24"/>
        <v>2445.8831691801565</v>
      </c>
      <c r="O206">
        <f t="shared" si="25"/>
        <v>2783.0881392121355</v>
      </c>
    </row>
    <row r="207" spans="1:15" x14ac:dyDescent="0.25">
      <c r="A207" s="3">
        <v>42062</v>
      </c>
      <c r="B207" s="1">
        <v>6.8853999999999999E-2</v>
      </c>
      <c r="C207" s="1">
        <v>7.0792999999999995E-2</v>
      </c>
      <c r="D207" s="1">
        <v>5.7405999999999999E-2</v>
      </c>
      <c r="E207" s="1">
        <f>'Fama-French Data'!D207</f>
        <v>0</v>
      </c>
      <c r="F207">
        <f t="shared" si="20"/>
        <v>6.8853999999999999E-2</v>
      </c>
      <c r="G207">
        <f t="shared" si="21"/>
        <v>7.0792999999999995E-2</v>
      </c>
      <c r="H207">
        <f t="shared" si="22"/>
        <v>5.7405999999999999E-2</v>
      </c>
      <c r="I207" s="1">
        <f>'Fama-French Data'!A207</f>
        <v>6.13E-2</v>
      </c>
      <c r="J207" s="1">
        <f>'Fama-French Data'!B207</f>
        <v>6.1000000000000004E-3</v>
      </c>
      <c r="K207" s="1">
        <f>'Fama-French Data'!C207</f>
        <v>-1.7899999999999999E-2</v>
      </c>
      <c r="L207">
        <f>'Fama-French Data'!F207</f>
        <v>-3.1E-2</v>
      </c>
      <c r="M207">
        <f t="shared" si="23"/>
        <v>2932.122512904441</v>
      </c>
      <c r="N207">
        <f t="shared" si="24"/>
        <v>2619.0345763759278</v>
      </c>
      <c r="O207">
        <f t="shared" si="25"/>
        <v>2942.8540969317473</v>
      </c>
    </row>
    <row r="208" spans="1:15" x14ac:dyDescent="0.25">
      <c r="A208" s="3">
        <v>42094</v>
      </c>
      <c r="B208" s="1">
        <v>-1.1535E-2</v>
      </c>
      <c r="C208" s="1">
        <v>-8.9429999999999996E-3</v>
      </c>
      <c r="D208" s="1">
        <v>-1.6646000000000001E-2</v>
      </c>
      <c r="E208" s="1">
        <f>'Fama-French Data'!D208</f>
        <v>0</v>
      </c>
      <c r="F208">
        <f t="shared" si="20"/>
        <v>-1.1535E-2</v>
      </c>
      <c r="G208">
        <f t="shared" si="21"/>
        <v>-8.9429999999999996E-3</v>
      </c>
      <c r="H208">
        <f t="shared" si="22"/>
        <v>-1.6646000000000001E-2</v>
      </c>
      <c r="I208" s="1">
        <f>'Fama-French Data'!A208</f>
        <v>-1.11E-2</v>
      </c>
      <c r="J208" s="1">
        <f>'Fama-French Data'!B208</f>
        <v>3.0499999999999999E-2</v>
      </c>
      <c r="K208" s="1">
        <f>'Fama-French Data'!C208</f>
        <v>-3.8E-3</v>
      </c>
      <c r="L208">
        <f>'Fama-French Data'!F208</f>
        <v>2.7E-2</v>
      </c>
      <c r="M208">
        <f t="shared" si="23"/>
        <v>2898.3004797180884</v>
      </c>
      <c r="N208">
        <f t="shared" si="24"/>
        <v>2595.6125501593979</v>
      </c>
      <c r="O208">
        <f t="shared" si="25"/>
        <v>2893.8673476342215</v>
      </c>
    </row>
    <row r="209" spans="1:15" x14ac:dyDescent="0.25">
      <c r="A209" s="3">
        <v>42124</v>
      </c>
      <c r="B209" s="1">
        <v>5.6940000000000003E-3</v>
      </c>
      <c r="C209" s="1">
        <v>-3.2200000000000002E-4</v>
      </c>
      <c r="D209" s="1">
        <v>9.8420000000000001E-3</v>
      </c>
      <c r="E209" s="1">
        <f>'Fama-French Data'!D209</f>
        <v>0</v>
      </c>
      <c r="F209">
        <f t="shared" si="20"/>
        <v>5.6940000000000003E-3</v>
      </c>
      <c r="G209">
        <f t="shared" si="21"/>
        <v>-3.2200000000000002E-4</v>
      </c>
      <c r="H209">
        <f t="shared" si="22"/>
        <v>9.8420000000000001E-3</v>
      </c>
      <c r="I209" s="1">
        <f>'Fama-French Data'!A209</f>
        <v>5.8999999999999999E-3</v>
      </c>
      <c r="J209" s="1">
        <f>'Fama-French Data'!B209</f>
        <v>-2.9899999999999999E-2</v>
      </c>
      <c r="K209" s="1">
        <f>'Fama-French Data'!C209</f>
        <v>1.7999999999999999E-2</v>
      </c>
      <c r="L209">
        <f>'Fama-French Data'!F209</f>
        <v>-7.2700000000000001E-2</v>
      </c>
      <c r="M209">
        <f t="shared" si="23"/>
        <v>2914.8034026496034</v>
      </c>
      <c r="N209">
        <f t="shared" si="24"/>
        <v>2594.7767629182463</v>
      </c>
      <c r="O209">
        <f t="shared" si="25"/>
        <v>2922.3487900696373</v>
      </c>
    </row>
    <row r="210" spans="1:15" x14ac:dyDescent="0.25">
      <c r="A210" s="3">
        <v>42153</v>
      </c>
      <c r="B210" s="1">
        <v>2.4389999999999998E-2</v>
      </c>
      <c r="C210" s="1">
        <v>2.0954E-2</v>
      </c>
      <c r="D210" s="1">
        <v>1.3073E-2</v>
      </c>
      <c r="E210" s="1">
        <f>'Fama-French Data'!D210</f>
        <v>0</v>
      </c>
      <c r="F210">
        <f t="shared" si="20"/>
        <v>2.4389999999999998E-2</v>
      </c>
      <c r="G210">
        <f t="shared" si="21"/>
        <v>2.0954E-2</v>
      </c>
      <c r="H210">
        <f t="shared" si="22"/>
        <v>1.3073E-2</v>
      </c>
      <c r="I210" s="1">
        <f>'Fama-French Data'!A210</f>
        <v>1.37E-2</v>
      </c>
      <c r="J210" s="1">
        <f>'Fama-French Data'!B210</f>
        <v>9.4999999999999998E-3</v>
      </c>
      <c r="K210" s="1">
        <f>'Fama-French Data'!C210</f>
        <v>-1.11E-2</v>
      </c>
      <c r="L210">
        <f>'Fama-French Data'!F210</f>
        <v>5.6800000000000003E-2</v>
      </c>
      <c r="M210">
        <f t="shared" si="23"/>
        <v>2985.8954576402271</v>
      </c>
      <c r="N210">
        <f t="shared" si="24"/>
        <v>2649.1477152084349</v>
      </c>
      <c r="O210">
        <f t="shared" si="25"/>
        <v>2960.5526558022175</v>
      </c>
    </row>
    <row r="211" spans="1:15" x14ac:dyDescent="0.25">
      <c r="A211" s="3">
        <v>42185</v>
      </c>
      <c r="B211" s="1">
        <v>-3.2981000000000003E-2</v>
      </c>
      <c r="C211" s="1">
        <v>-4.4209999999999996E-3</v>
      </c>
      <c r="D211" s="1">
        <v>-1.9737000000000001E-2</v>
      </c>
      <c r="E211" s="1">
        <f>'Fama-French Data'!D211</f>
        <v>0</v>
      </c>
      <c r="F211">
        <f t="shared" si="20"/>
        <v>-3.2981000000000003E-2</v>
      </c>
      <c r="G211">
        <f t="shared" si="21"/>
        <v>-4.4209999999999996E-3</v>
      </c>
      <c r="H211">
        <f t="shared" si="22"/>
        <v>-1.9737000000000001E-2</v>
      </c>
      <c r="I211" s="1">
        <f>'Fama-French Data'!A211</f>
        <v>-1.52E-2</v>
      </c>
      <c r="J211" s="1">
        <f>'Fama-French Data'!B211</f>
        <v>2.9399999999999999E-2</v>
      </c>
      <c r="K211" s="1">
        <f>'Fama-French Data'!C211</f>
        <v>-8.2000000000000007E-3</v>
      </c>
      <c r="L211">
        <f>'Fama-French Data'!F211</f>
        <v>3.0099999999999998E-2</v>
      </c>
      <c r="M211">
        <f t="shared" si="23"/>
        <v>2887.4176395517948</v>
      </c>
      <c r="N211">
        <f t="shared" si="24"/>
        <v>2637.4358331594985</v>
      </c>
      <c r="O211">
        <f t="shared" si="25"/>
        <v>2902.1202280346492</v>
      </c>
    </row>
    <row r="212" spans="1:15" x14ac:dyDescent="0.25">
      <c r="A212" s="3">
        <v>42216</v>
      </c>
      <c r="B212" s="1">
        <v>-7.4859999999999996E-3</v>
      </c>
      <c r="C212" s="1">
        <v>3.8376E-2</v>
      </c>
      <c r="D212" s="1">
        <v>2.0433E-2</v>
      </c>
      <c r="E212" s="1">
        <f>'Fama-French Data'!D212</f>
        <v>0</v>
      </c>
      <c r="F212">
        <f t="shared" si="20"/>
        <v>-7.4859999999999996E-3</v>
      </c>
      <c r="G212">
        <f t="shared" si="21"/>
        <v>3.8376E-2</v>
      </c>
      <c r="H212">
        <f t="shared" si="22"/>
        <v>2.0433E-2</v>
      </c>
      <c r="I212" s="1">
        <f>'Fama-French Data'!A212</f>
        <v>1.5699999999999999E-2</v>
      </c>
      <c r="J212" s="1">
        <f>'Fama-French Data'!B212</f>
        <v>-4.1700000000000001E-2</v>
      </c>
      <c r="K212" s="1">
        <f>'Fama-French Data'!C212</f>
        <v>-4.1599999999999998E-2</v>
      </c>
      <c r="L212">
        <f>'Fama-French Data'!F212</f>
        <v>9.9699999999999997E-2</v>
      </c>
      <c r="M212">
        <f t="shared" si="23"/>
        <v>2865.8024311021099</v>
      </c>
      <c r="N212">
        <f t="shared" si="24"/>
        <v>2738.6500706928273</v>
      </c>
      <c r="O212">
        <f t="shared" si="25"/>
        <v>2961.4192506540812</v>
      </c>
    </row>
    <row r="213" spans="1:15" x14ac:dyDescent="0.25">
      <c r="A213" s="3">
        <v>42247</v>
      </c>
      <c r="B213" s="1">
        <v>-5.9894000000000003E-2</v>
      </c>
      <c r="C213" s="1">
        <v>-6.8418000000000007E-2</v>
      </c>
      <c r="D213" s="1">
        <v>-6.0541999999999999E-2</v>
      </c>
      <c r="E213" s="1">
        <f>'Fama-French Data'!D213</f>
        <v>0</v>
      </c>
      <c r="F213">
        <f t="shared" si="20"/>
        <v>-5.9894000000000003E-2</v>
      </c>
      <c r="G213">
        <f t="shared" si="21"/>
        <v>-6.8418000000000007E-2</v>
      </c>
      <c r="H213">
        <f t="shared" si="22"/>
        <v>-6.0541999999999999E-2</v>
      </c>
      <c r="I213" s="1">
        <f>'Fama-French Data'!A213</f>
        <v>-6.0199999999999997E-2</v>
      </c>
      <c r="J213" s="1">
        <f>'Fama-French Data'!B213</f>
        <v>3.7000000000000002E-3</v>
      </c>
      <c r="K213" s="1">
        <f>'Fama-French Data'!C213</f>
        <v>2.75E-2</v>
      </c>
      <c r="L213">
        <f>'Fama-French Data'!F213</f>
        <v>-2.1600000000000001E-2</v>
      </c>
      <c r="M213">
        <f t="shared" si="23"/>
        <v>2694.1580602936801</v>
      </c>
      <c r="N213">
        <f t="shared" si="24"/>
        <v>2551.2771101561657</v>
      </c>
      <c r="O213">
        <f t="shared" si="25"/>
        <v>2782.129006380982</v>
      </c>
    </row>
    <row r="214" spans="1:15" x14ac:dyDescent="0.25">
      <c r="A214" s="3">
        <v>42277</v>
      </c>
      <c r="B214" s="1">
        <v>-3.7952E-2</v>
      </c>
      <c r="C214" s="1">
        <v>-1.8033E-2</v>
      </c>
      <c r="D214" s="1">
        <v>-2.4944999999999998E-2</v>
      </c>
      <c r="E214" s="1">
        <f>'Fama-French Data'!D214</f>
        <v>0</v>
      </c>
      <c r="F214">
        <f t="shared" si="20"/>
        <v>-3.7952E-2</v>
      </c>
      <c r="G214">
        <f t="shared" si="21"/>
        <v>-1.8033E-2</v>
      </c>
      <c r="H214">
        <f t="shared" si="22"/>
        <v>-2.4944999999999998E-2</v>
      </c>
      <c r="I214" s="1">
        <f>'Fama-French Data'!A214</f>
        <v>-3.0599999999999999E-2</v>
      </c>
      <c r="J214" s="1">
        <f>'Fama-French Data'!B214</f>
        <v>-2.63E-2</v>
      </c>
      <c r="K214" s="1">
        <f>'Fama-French Data'!C214</f>
        <v>5.4999999999999997E-3</v>
      </c>
      <c r="L214">
        <f>'Fama-French Data'!F214</f>
        <v>5.2400000000000002E-2</v>
      </c>
      <c r="M214">
        <f t="shared" si="23"/>
        <v>2591.9093735894144</v>
      </c>
      <c r="N214">
        <f t="shared" si="24"/>
        <v>2505.2699300287195</v>
      </c>
      <c r="O214">
        <f t="shared" si="25"/>
        <v>2712.7287983168085</v>
      </c>
    </row>
    <row r="215" spans="1:15" x14ac:dyDescent="0.25">
      <c r="A215" s="3">
        <v>42307</v>
      </c>
      <c r="B215" s="1">
        <v>7.1252999999999997E-2</v>
      </c>
      <c r="C215" s="1">
        <v>8.2805000000000004E-2</v>
      </c>
      <c r="D215" s="1">
        <v>8.4259000000000001E-2</v>
      </c>
      <c r="E215" s="1">
        <f>'Fama-French Data'!D215</f>
        <v>0</v>
      </c>
      <c r="F215">
        <f t="shared" si="20"/>
        <v>7.1252999999999997E-2</v>
      </c>
      <c r="G215">
        <f t="shared" si="21"/>
        <v>8.2805000000000004E-2</v>
      </c>
      <c r="H215">
        <f t="shared" si="22"/>
        <v>8.4259000000000001E-2</v>
      </c>
      <c r="I215" s="1">
        <f>'Fama-French Data'!A215</f>
        <v>7.7499999999999999E-2</v>
      </c>
      <c r="J215" s="1">
        <f>'Fama-French Data'!B215</f>
        <v>-1.9E-2</v>
      </c>
      <c r="K215" s="1">
        <f>'Fama-French Data'!C215</f>
        <v>-4.7000000000000002E-3</v>
      </c>
      <c r="L215">
        <f>'Fama-French Data'!F215</f>
        <v>-3.1899999999999998E-2</v>
      </c>
      <c r="M215">
        <f t="shared" si="23"/>
        <v>2776.5906921857809</v>
      </c>
      <c r="N215">
        <f t="shared" si="24"/>
        <v>2712.7188065847477</v>
      </c>
      <c r="O215">
        <f t="shared" si="25"/>
        <v>2941.3006141341848</v>
      </c>
    </row>
    <row r="216" spans="1:15" x14ac:dyDescent="0.25">
      <c r="A216" s="3">
        <v>42338</v>
      </c>
      <c r="B216" s="1">
        <v>2.294E-3</v>
      </c>
      <c r="C216" s="1">
        <v>3.7000000000000002E-3</v>
      </c>
      <c r="D216" s="1">
        <v>2.598E-3</v>
      </c>
      <c r="E216" s="1">
        <f>'Fama-French Data'!D216</f>
        <v>0</v>
      </c>
      <c r="F216">
        <f t="shared" si="20"/>
        <v>2.294E-3</v>
      </c>
      <c r="G216">
        <f t="shared" si="21"/>
        <v>3.7000000000000002E-3</v>
      </c>
      <c r="H216">
        <f t="shared" si="22"/>
        <v>2.598E-3</v>
      </c>
      <c r="I216" s="1">
        <f>'Fama-French Data'!A216</f>
        <v>5.7000000000000002E-3</v>
      </c>
      <c r="J216" s="1">
        <f>'Fama-French Data'!B216</f>
        <v>3.5799999999999998E-2</v>
      </c>
      <c r="K216" s="1">
        <f>'Fama-French Data'!C216</f>
        <v>-4.3E-3</v>
      </c>
      <c r="L216">
        <f>'Fama-French Data'!F216</f>
        <v>2.29E-2</v>
      </c>
      <c r="M216">
        <f t="shared" si="23"/>
        <v>2782.9601912336552</v>
      </c>
      <c r="N216">
        <f t="shared" si="24"/>
        <v>2722.7558661691114</v>
      </c>
      <c r="O216">
        <f t="shared" si="25"/>
        <v>2948.9421131297058</v>
      </c>
    </row>
    <row r="217" spans="1:15" x14ac:dyDescent="0.25">
      <c r="A217" s="3">
        <v>42369</v>
      </c>
      <c r="B217" s="1">
        <v>-2.087E-2</v>
      </c>
      <c r="C217" s="1">
        <v>-1.0292000000000001E-2</v>
      </c>
      <c r="D217" s="1">
        <v>-1.6764000000000001E-2</v>
      </c>
      <c r="E217" s="1">
        <f>'Fama-French Data'!D217</f>
        <v>1E-4</v>
      </c>
      <c r="F217">
        <f t="shared" si="20"/>
        <v>-2.0969999999999999E-2</v>
      </c>
      <c r="G217">
        <f t="shared" si="21"/>
        <v>-1.0392E-2</v>
      </c>
      <c r="H217">
        <f t="shared" si="22"/>
        <v>-1.6864000000000001E-2</v>
      </c>
      <c r="I217" s="1">
        <f>'Fama-French Data'!A217</f>
        <v>-2.1499999999999998E-2</v>
      </c>
      <c r="J217" s="1">
        <f>'Fama-French Data'!B217</f>
        <v>-2.8000000000000001E-2</v>
      </c>
      <c r="K217" s="1">
        <f>'Fama-French Data'!C217</f>
        <v>-2.5700000000000001E-2</v>
      </c>
      <c r="L217">
        <f>'Fama-French Data'!F217</f>
        <v>3.3399999999999999E-2</v>
      </c>
      <c r="M217">
        <f t="shared" si="23"/>
        <v>2724.879812042609</v>
      </c>
      <c r="N217">
        <f t="shared" si="24"/>
        <v>2694.7332627944988</v>
      </c>
      <c r="O217">
        <f t="shared" si="25"/>
        <v>2899.5060475451996</v>
      </c>
    </row>
    <row r="218" spans="1:15" x14ac:dyDescent="0.25">
      <c r="A218" s="3">
        <v>42398</v>
      </c>
      <c r="B218" s="1">
        <v>-6.8270999999999998E-2</v>
      </c>
      <c r="C218" s="1">
        <v>-6.7072999999999994E-2</v>
      </c>
      <c r="D218" s="1">
        <v>-4.9278000000000002E-2</v>
      </c>
      <c r="E218" s="1">
        <f>'Fama-French Data'!D218</f>
        <v>1E-4</v>
      </c>
      <c r="F218">
        <f t="shared" si="20"/>
        <v>-6.8371000000000001E-2</v>
      </c>
      <c r="G218">
        <f t="shared" si="21"/>
        <v>-6.7172999999999997E-2</v>
      </c>
      <c r="H218">
        <f t="shared" si="22"/>
        <v>-4.9378000000000005E-2</v>
      </c>
      <c r="I218" s="1">
        <f>'Fama-French Data'!A218</f>
        <v>-5.74E-2</v>
      </c>
      <c r="J218" s="1">
        <f>'Fama-French Data'!B218</f>
        <v>-3.4000000000000002E-2</v>
      </c>
      <c r="K218" s="1">
        <f>'Fama-French Data'!C218</f>
        <v>2.0799999999999999E-2</v>
      </c>
      <c r="L218">
        <f>'Fama-French Data'!F218</f>
        <v>1.6E-2</v>
      </c>
      <c r="M218">
        <f t="shared" si="23"/>
        <v>2538.8495423946483</v>
      </c>
      <c r="N218">
        <f t="shared" si="24"/>
        <v>2513.9894186590836</v>
      </c>
      <c r="O218">
        <f t="shared" si="25"/>
        <v>2756.624188534267</v>
      </c>
    </row>
    <row r="219" spans="1:15" x14ac:dyDescent="0.25">
      <c r="A219" s="3">
        <v>42429</v>
      </c>
      <c r="B219" s="1">
        <v>5.2700000000000002E-4</v>
      </c>
      <c r="C219" s="1">
        <v>-1.0167000000000001E-2</v>
      </c>
      <c r="D219" s="1">
        <v>-7.85E-4</v>
      </c>
      <c r="E219" s="1">
        <f>'Fama-French Data'!D219</f>
        <v>2.0000000000000001E-4</v>
      </c>
      <c r="F219">
        <f t="shared" si="20"/>
        <v>3.2700000000000003E-4</v>
      </c>
      <c r="G219">
        <f t="shared" si="21"/>
        <v>-1.0367000000000001E-2</v>
      </c>
      <c r="H219">
        <f t="shared" si="22"/>
        <v>-9.8499999999999998E-4</v>
      </c>
      <c r="I219" s="1">
        <f>'Fama-French Data'!A219</f>
        <v>-5.9999999999999995E-4</v>
      </c>
      <c r="J219" s="1">
        <f>'Fama-French Data'!B219</f>
        <v>7.3000000000000001E-3</v>
      </c>
      <c r="K219" s="1">
        <f>'Fama-French Data'!C219</f>
        <v>-6.1000000000000004E-3</v>
      </c>
      <c r="L219">
        <f>'Fama-French Data'!F219</f>
        <v>-4.3499999999999997E-2</v>
      </c>
      <c r="M219">
        <f t="shared" si="23"/>
        <v>2540.18751610349</v>
      </c>
      <c r="N219">
        <f t="shared" si="24"/>
        <v>2488.4296882395765</v>
      </c>
      <c r="O219">
        <f t="shared" si="25"/>
        <v>2754.4602385462676</v>
      </c>
    </row>
    <row r="220" spans="1:15" x14ac:dyDescent="0.25">
      <c r="A220" s="3">
        <v>42460</v>
      </c>
      <c r="B220" s="1">
        <v>7.0609000000000005E-2</v>
      </c>
      <c r="C220" s="1">
        <v>5.3925000000000001E-2</v>
      </c>
      <c r="D220" s="1">
        <v>6.7146999999999998E-2</v>
      </c>
      <c r="E220" s="1">
        <f>'Fama-French Data'!D220</f>
        <v>2.0000000000000001E-4</v>
      </c>
      <c r="F220">
        <f t="shared" si="20"/>
        <v>7.0408999999999999E-2</v>
      </c>
      <c r="G220">
        <f t="shared" si="21"/>
        <v>5.3725000000000002E-2</v>
      </c>
      <c r="H220">
        <f t="shared" si="22"/>
        <v>6.6946999999999993E-2</v>
      </c>
      <c r="I220" s="1">
        <f>'Fama-French Data'!A220</f>
        <v>6.9500000000000006E-2</v>
      </c>
      <c r="J220" s="1">
        <f>'Fama-French Data'!B220</f>
        <v>7.4999999999999997E-3</v>
      </c>
      <c r="K220" s="1">
        <f>'Fama-French Data'!C220</f>
        <v>1.2200000000000001E-2</v>
      </c>
      <c r="L220">
        <f>'Fama-French Data'!F220</f>
        <v>-5.04E-2</v>
      </c>
      <c r="M220">
        <f t="shared" si="23"/>
        <v>2719.5476164280412</v>
      </c>
      <c r="N220">
        <f t="shared" si="24"/>
        <v>2622.6182591778957</v>
      </c>
      <c r="O220">
        <f t="shared" si="25"/>
        <v>2939.4139801839342</v>
      </c>
    </row>
    <row r="221" spans="1:15" x14ac:dyDescent="0.25">
      <c r="A221" s="3">
        <v>42489</v>
      </c>
      <c r="B221" s="1">
        <v>0</v>
      </c>
      <c r="C221" s="1">
        <v>1.3226999999999999E-2</v>
      </c>
      <c r="D221" s="1">
        <v>3.947E-3</v>
      </c>
      <c r="E221" s="1">
        <f>'Fama-French Data'!D221</f>
        <v>1E-4</v>
      </c>
      <c r="F221">
        <f t="shared" si="20"/>
        <v>-1E-4</v>
      </c>
      <c r="G221">
        <f t="shared" si="21"/>
        <v>1.3127E-2</v>
      </c>
      <c r="H221">
        <f t="shared" si="22"/>
        <v>3.8470000000000002E-3</v>
      </c>
      <c r="I221" s="1">
        <f>'Fama-French Data'!A221</f>
        <v>9.1999999999999998E-3</v>
      </c>
      <c r="J221" s="1">
        <f>'Fama-French Data'!B221</f>
        <v>7.7000000000000002E-3</v>
      </c>
      <c r="K221" s="1">
        <f>'Fama-French Data'!C221</f>
        <v>3.2199999999999999E-2</v>
      </c>
      <c r="L221">
        <f>'Fama-French Data'!F221</f>
        <v>-5.9799999999999999E-2</v>
      </c>
      <c r="M221">
        <f t="shared" si="23"/>
        <v>2719.5476164280412</v>
      </c>
      <c r="N221">
        <f t="shared" si="24"/>
        <v>2657.3076308920417</v>
      </c>
      <c r="O221">
        <f t="shared" si="25"/>
        <v>2951.0158471637201</v>
      </c>
    </row>
    <row r="222" spans="1:15" x14ac:dyDescent="0.25">
      <c r="A222" s="3">
        <v>42521</v>
      </c>
      <c r="B222" s="1">
        <v>1.43E-2</v>
      </c>
      <c r="C222" s="1">
        <v>1.7176E-2</v>
      </c>
      <c r="D222" s="1">
        <v>1.6952999999999999E-2</v>
      </c>
      <c r="E222" s="1">
        <f>'Fama-French Data'!D222</f>
        <v>1E-4</v>
      </c>
      <c r="F222">
        <f t="shared" si="20"/>
        <v>1.4200000000000001E-2</v>
      </c>
      <c r="G222">
        <f t="shared" si="21"/>
        <v>1.7076000000000001E-2</v>
      </c>
      <c r="H222">
        <f t="shared" si="22"/>
        <v>1.6853E-2</v>
      </c>
      <c r="I222" s="1">
        <f>'Fama-French Data'!A222</f>
        <v>1.78E-2</v>
      </c>
      <c r="J222" s="1">
        <f>'Fama-French Data'!B222</f>
        <v>-1.8E-3</v>
      </c>
      <c r="K222" s="1">
        <f>'Fama-French Data'!C222</f>
        <v>-1.6199999999999999E-2</v>
      </c>
      <c r="L222">
        <f>'Fama-French Data'!F222</f>
        <v>1.47E-2</v>
      </c>
      <c r="M222">
        <f t="shared" si="23"/>
        <v>2758.4371473429624</v>
      </c>
      <c r="N222">
        <f t="shared" si="24"/>
        <v>2702.9495467602437</v>
      </c>
      <c r="O222">
        <f t="shared" si="25"/>
        <v>3001.0444188206866</v>
      </c>
    </row>
    <row r="223" spans="1:15" x14ac:dyDescent="0.25">
      <c r="A223" s="3">
        <v>42551</v>
      </c>
      <c r="B223" s="1">
        <v>-3.3400000000000001E-3</v>
      </c>
      <c r="C223" s="1">
        <v>-1.6548E-2</v>
      </c>
      <c r="D223" s="1">
        <v>2.3410000000000002E-3</v>
      </c>
      <c r="E223" s="1">
        <f>'Fama-French Data'!D223</f>
        <v>2.0000000000000001E-4</v>
      </c>
      <c r="F223">
        <f t="shared" si="20"/>
        <v>-3.5400000000000002E-3</v>
      </c>
      <c r="G223">
        <f t="shared" si="21"/>
        <v>-1.6747999999999999E-2</v>
      </c>
      <c r="H223">
        <f t="shared" si="22"/>
        <v>2.1410000000000001E-3</v>
      </c>
      <c r="I223" s="1">
        <f>'Fama-French Data'!A223</f>
        <v>-2.9999999999999997E-4</v>
      </c>
      <c r="J223" s="1">
        <f>'Fama-French Data'!B223</f>
        <v>6.0000000000000001E-3</v>
      </c>
      <c r="K223" s="1">
        <f>'Fama-French Data'!C223</f>
        <v>-1.49E-2</v>
      </c>
      <c r="L223">
        <f>'Fama-French Data'!F223</f>
        <v>4.2000000000000003E-2</v>
      </c>
      <c r="M223">
        <f t="shared" si="23"/>
        <v>2749.223967270837</v>
      </c>
      <c r="N223">
        <f t="shared" si="24"/>
        <v>2658.221137660455</v>
      </c>
      <c r="O223">
        <f t="shared" si="25"/>
        <v>3008.0698638051458</v>
      </c>
    </row>
    <row r="224" spans="1:15" x14ac:dyDescent="0.25">
      <c r="A224" s="3">
        <v>42580</v>
      </c>
      <c r="B224" s="1">
        <v>4.6920999999999997E-2</v>
      </c>
      <c r="C224" s="1">
        <v>5.2540999999999997E-2</v>
      </c>
      <c r="D224" s="1">
        <v>3.6319999999999998E-2</v>
      </c>
      <c r="E224" s="1">
        <f>'Fama-French Data'!D224</f>
        <v>2.0000000000000001E-4</v>
      </c>
      <c r="F224">
        <f t="shared" si="20"/>
        <v>4.6720999999999999E-2</v>
      </c>
      <c r="G224">
        <f t="shared" si="21"/>
        <v>5.2340999999999999E-2</v>
      </c>
      <c r="H224">
        <f t="shared" si="22"/>
        <v>3.6119999999999999E-2</v>
      </c>
      <c r="I224" s="1">
        <f>'Fama-French Data'!A224</f>
        <v>3.9399999999999998E-2</v>
      </c>
      <c r="J224" s="1">
        <f>'Fama-French Data'!B224</f>
        <v>2.4500000000000001E-2</v>
      </c>
      <c r="K224" s="1">
        <f>'Fama-French Data'!C224</f>
        <v>-1.24E-2</v>
      </c>
      <c r="L224">
        <f>'Fama-French Data'!F224</f>
        <v>-3.3099999999999997E-2</v>
      </c>
      <c r="M224">
        <f t="shared" si="23"/>
        <v>2878.2203050391518</v>
      </c>
      <c r="N224">
        <f t="shared" si="24"/>
        <v>2797.8867344542728</v>
      </c>
      <c r="O224">
        <f t="shared" si="25"/>
        <v>3117.3229612585483</v>
      </c>
    </row>
    <row r="225" spans="1:15" x14ac:dyDescent="0.25">
      <c r="A225" s="3">
        <v>42613</v>
      </c>
      <c r="B225" s="1">
        <v>8.8699999999999994E-3</v>
      </c>
      <c r="C225" s="1">
        <v>-6.5250000000000004E-3</v>
      </c>
      <c r="D225" s="1">
        <v>1.402E-3</v>
      </c>
      <c r="E225" s="1">
        <f>'Fama-French Data'!D225</f>
        <v>2.0000000000000001E-4</v>
      </c>
      <c r="F225">
        <f t="shared" si="20"/>
        <v>8.6699999999999989E-3</v>
      </c>
      <c r="G225">
        <f t="shared" si="21"/>
        <v>-6.7250000000000001E-3</v>
      </c>
      <c r="H225">
        <f t="shared" si="22"/>
        <v>1.2019999999999999E-3</v>
      </c>
      <c r="I225" s="1">
        <f>'Fama-French Data'!A225</f>
        <v>4.8999999999999998E-3</v>
      </c>
      <c r="J225" s="1">
        <f>'Fama-French Data'!B225</f>
        <v>1.17E-2</v>
      </c>
      <c r="K225" s="1">
        <f>'Fama-French Data'!C225</f>
        <v>3.1699999999999999E-2</v>
      </c>
      <c r="L225">
        <f>'Fama-French Data'!F225</f>
        <v>-3.4099999999999998E-2</v>
      </c>
      <c r="M225">
        <f t="shared" si="23"/>
        <v>2903.7501191448487</v>
      </c>
      <c r="N225">
        <f t="shared" si="24"/>
        <v>2779.6305235119585</v>
      </c>
      <c r="O225">
        <f t="shared" si="25"/>
        <v>3121.6934480502323</v>
      </c>
    </row>
    <row r="226" spans="1:15" x14ac:dyDescent="0.25">
      <c r="A226" s="3">
        <v>42643</v>
      </c>
      <c r="B226" s="1">
        <v>-2.7759999999999998E-3</v>
      </c>
      <c r="C226" s="1">
        <v>2.2989999999999998E-3</v>
      </c>
      <c r="D226" s="1">
        <v>-7.7499999999999997E-4</v>
      </c>
      <c r="E226" s="1">
        <f>'Fama-French Data'!D226</f>
        <v>2.0000000000000001E-4</v>
      </c>
      <c r="F226">
        <f t="shared" si="20"/>
        <v>-2.9759999999999999E-3</v>
      </c>
      <c r="G226">
        <f t="shared" si="21"/>
        <v>2.0989999999999997E-3</v>
      </c>
      <c r="H226">
        <f t="shared" si="22"/>
        <v>-9.7499999999999996E-4</v>
      </c>
      <c r="I226" s="1">
        <f>'Fama-French Data'!A226</f>
        <v>2.7000000000000001E-3</v>
      </c>
      <c r="J226" s="1">
        <f>'Fama-French Data'!B226</f>
        <v>2.0799999999999999E-2</v>
      </c>
      <c r="K226" s="1">
        <f>'Fama-French Data'!C226</f>
        <v>-1.1900000000000001E-2</v>
      </c>
      <c r="L226">
        <f>'Fama-French Data'!F226</f>
        <v>2.5999999999999999E-3</v>
      </c>
      <c r="M226">
        <f t="shared" si="23"/>
        <v>2895.6893088141028</v>
      </c>
      <c r="N226">
        <f t="shared" si="24"/>
        <v>2786.0208940855127</v>
      </c>
      <c r="O226">
        <f t="shared" si="25"/>
        <v>3119.2741356279935</v>
      </c>
    </row>
    <row r="227" spans="1:15" x14ac:dyDescent="0.25">
      <c r="A227" s="3">
        <v>42674</v>
      </c>
      <c r="B227" s="1">
        <v>-3.1613000000000002E-2</v>
      </c>
      <c r="C227" s="1">
        <v>-2.6211999999999999E-2</v>
      </c>
      <c r="D227" s="1">
        <v>-1.7625999999999999E-2</v>
      </c>
      <c r="E227" s="1">
        <f>'Fama-French Data'!D227</f>
        <v>2.0000000000000001E-4</v>
      </c>
      <c r="F227">
        <f t="shared" si="20"/>
        <v>-3.1813000000000001E-2</v>
      </c>
      <c r="G227">
        <f t="shared" si="21"/>
        <v>-2.6411999999999998E-2</v>
      </c>
      <c r="H227">
        <f t="shared" si="22"/>
        <v>-1.7825999999999998E-2</v>
      </c>
      <c r="I227" s="1">
        <f>'Fama-French Data'!A227</f>
        <v>-2.01E-2</v>
      </c>
      <c r="J227" s="1">
        <f>'Fama-French Data'!B227</f>
        <v>-4.3900000000000002E-2</v>
      </c>
      <c r="K227" s="1">
        <f>'Fama-French Data'!C227</f>
        <v>4.1099999999999998E-2</v>
      </c>
      <c r="L227">
        <f>'Fama-French Data'!F227</f>
        <v>5.1000000000000004E-3</v>
      </c>
      <c r="M227">
        <f t="shared" si="23"/>
        <v>2804.1478826945627</v>
      </c>
      <c r="N227">
        <f t="shared" si="24"/>
        <v>2712.9937144097435</v>
      </c>
      <c r="O227">
        <f t="shared" si="25"/>
        <v>3064.2938097134142</v>
      </c>
    </row>
    <row r="228" spans="1:15" x14ac:dyDescent="0.25">
      <c r="A228" s="3">
        <v>42704</v>
      </c>
      <c r="B228" s="1">
        <v>4.2727000000000001E-2</v>
      </c>
      <c r="C228" s="1">
        <v>-2.019E-3</v>
      </c>
      <c r="D228" s="1">
        <v>3.8762999999999999E-2</v>
      </c>
      <c r="E228" s="1">
        <f>'Fama-French Data'!D228</f>
        <v>1E-4</v>
      </c>
      <c r="F228">
        <f t="shared" si="20"/>
        <v>4.2626999999999998E-2</v>
      </c>
      <c r="G228">
        <f t="shared" si="21"/>
        <v>-2.1189999999999998E-3</v>
      </c>
      <c r="H228">
        <f t="shared" si="22"/>
        <v>3.8662999999999996E-2</v>
      </c>
      <c r="I228" s="1">
        <f>'Fama-French Data'!A228</f>
        <v>4.8599999999999997E-2</v>
      </c>
      <c r="J228" s="1">
        <f>'Fama-French Data'!B228</f>
        <v>5.6000000000000001E-2</v>
      </c>
      <c r="K228" s="1">
        <f>'Fama-French Data'!C228</f>
        <v>8.2900000000000001E-2</v>
      </c>
      <c r="L228">
        <f>'Fama-French Data'!F228</f>
        <v>-4.7699999999999999E-2</v>
      </c>
      <c r="M228">
        <f t="shared" si="23"/>
        <v>2923.9607092784531</v>
      </c>
      <c r="N228">
        <f t="shared" si="24"/>
        <v>2707.5161801003501</v>
      </c>
      <c r="O228">
        <f t="shared" si="25"/>
        <v>3183.0750306593354</v>
      </c>
    </row>
    <row r="229" spans="1:15" x14ac:dyDescent="0.25">
      <c r="A229" s="3">
        <v>42734</v>
      </c>
      <c r="B229" s="1">
        <v>1.9845000000000002E-2</v>
      </c>
      <c r="C229" s="1">
        <v>2.5339999999999998E-3</v>
      </c>
      <c r="D229" s="1">
        <v>1.5356E-2</v>
      </c>
      <c r="E229" s="1">
        <f>'Fama-French Data'!D229</f>
        <v>2.9999999999999997E-4</v>
      </c>
      <c r="F229">
        <f t="shared" si="20"/>
        <v>1.9545E-2</v>
      </c>
      <c r="G229">
        <f t="shared" si="21"/>
        <v>2.2339999999999999E-3</v>
      </c>
      <c r="H229">
        <f t="shared" si="22"/>
        <v>1.5056E-2</v>
      </c>
      <c r="I229" s="1">
        <f>'Fama-French Data'!A229</f>
        <v>1.8100000000000002E-2</v>
      </c>
      <c r="J229" s="1">
        <f>'Fama-French Data'!B229</f>
        <v>1.4E-3</v>
      </c>
      <c r="K229" s="1">
        <f>'Fama-French Data'!C229</f>
        <v>3.4700000000000002E-2</v>
      </c>
      <c r="L229">
        <f>'Fama-French Data'!F229</f>
        <v>-2.7000000000000001E-3</v>
      </c>
      <c r="M229">
        <f t="shared" si="23"/>
        <v>2981.9867095540844</v>
      </c>
      <c r="N229">
        <f t="shared" si="24"/>
        <v>2714.3770261007244</v>
      </c>
      <c r="O229">
        <f t="shared" si="25"/>
        <v>3231.95433083014</v>
      </c>
    </row>
    <row r="230" spans="1:15" x14ac:dyDescent="0.25">
      <c r="A230" s="3">
        <v>42766</v>
      </c>
      <c r="B230" s="1">
        <v>1.4130999999999999E-2</v>
      </c>
      <c r="C230" s="1">
        <v>3.8621999999999997E-2</v>
      </c>
      <c r="D230" s="1">
        <v>1.7186E-2</v>
      </c>
      <c r="E230" s="1">
        <f>'Fama-French Data'!D230</f>
        <v>4.0000000000000002E-4</v>
      </c>
      <c r="F230">
        <f t="shared" si="20"/>
        <v>1.3731E-2</v>
      </c>
      <c r="G230">
        <f t="shared" si="21"/>
        <v>3.8221999999999999E-2</v>
      </c>
      <c r="H230">
        <f t="shared" si="22"/>
        <v>1.6785999999999999E-2</v>
      </c>
      <c r="I230" s="1">
        <f>'Fama-French Data'!A230</f>
        <v>1.9400000000000001E-2</v>
      </c>
      <c r="J230" s="1">
        <f>'Fama-French Data'!B230</f>
        <v>-1.1599999999999999E-2</v>
      </c>
      <c r="K230" s="1">
        <f>'Fama-French Data'!C230</f>
        <v>-2.76E-2</v>
      </c>
      <c r="L230">
        <f>'Fama-French Data'!F230</f>
        <v>-9.2999999999999992E-3</v>
      </c>
      <c r="M230">
        <f t="shared" si="23"/>
        <v>3024.1251637467931</v>
      </c>
      <c r="N230">
        <f t="shared" si="24"/>
        <v>2819.2116956027862</v>
      </c>
      <c r="O230">
        <f t="shared" si="25"/>
        <v>3287.4986979597866</v>
      </c>
    </row>
    <row r="231" spans="1:15" x14ac:dyDescent="0.25">
      <c r="A231" s="3">
        <v>42794</v>
      </c>
      <c r="B231" s="1">
        <v>3.0190000000000002E-2</v>
      </c>
      <c r="C231" s="1">
        <v>2.7806000000000001E-2</v>
      </c>
      <c r="D231" s="1">
        <v>3.9874E-2</v>
      </c>
      <c r="E231" s="1">
        <f>'Fama-French Data'!D231</f>
        <v>4.0000000000000002E-4</v>
      </c>
      <c r="F231">
        <f t="shared" si="20"/>
        <v>2.9790000000000001E-2</v>
      </c>
      <c r="G231">
        <f t="shared" si="21"/>
        <v>2.7406E-2</v>
      </c>
      <c r="H231">
        <f t="shared" si="22"/>
        <v>3.9474000000000002E-2</v>
      </c>
      <c r="I231" s="1">
        <f>'Fama-French Data'!A231</f>
        <v>3.5499999999999997E-2</v>
      </c>
      <c r="J231" s="1">
        <f>'Fama-French Data'!B231</f>
        <v>-2.1499999999999998E-2</v>
      </c>
      <c r="K231" s="1">
        <f>'Fama-French Data'!C231</f>
        <v>-1.4999999999999999E-2</v>
      </c>
      <c r="L231">
        <f>'Fama-French Data'!F231</f>
        <v>-1.5100000000000001E-2</v>
      </c>
      <c r="M231">
        <f t="shared" si="23"/>
        <v>3115.4235024403088</v>
      </c>
      <c r="N231">
        <f t="shared" si="24"/>
        <v>2897.6026960107174</v>
      </c>
      <c r="O231">
        <f t="shared" si="25"/>
        <v>3418.5844210422351</v>
      </c>
    </row>
    <row r="232" spans="1:15" x14ac:dyDescent="0.25">
      <c r="A232" s="3">
        <v>42825</v>
      </c>
      <c r="B232" s="1">
        <v>-1.8029999999999999E-3</v>
      </c>
      <c r="C232" s="1">
        <v>1.6296999999999999E-2</v>
      </c>
      <c r="D232" s="1">
        <v>6.9999999999999999E-4</v>
      </c>
      <c r="E232" s="1">
        <f>'Fama-French Data'!D232</f>
        <v>2.9999999999999997E-4</v>
      </c>
      <c r="F232">
        <f t="shared" si="20"/>
        <v>-2.1029999999999998E-3</v>
      </c>
      <c r="G232">
        <f t="shared" si="21"/>
        <v>1.5996999999999997E-2</v>
      </c>
      <c r="H232">
        <f t="shared" si="22"/>
        <v>4.0000000000000002E-4</v>
      </c>
      <c r="I232" s="1">
        <f>'Fama-French Data'!A232</f>
        <v>1.6999999999999999E-3</v>
      </c>
      <c r="J232" s="1">
        <f>'Fama-French Data'!B232</f>
        <v>1.1299999999999999E-2</v>
      </c>
      <c r="K232" s="1">
        <f>'Fama-French Data'!C232</f>
        <v>-3.3300000000000003E-2</v>
      </c>
      <c r="L232">
        <f>'Fama-French Data'!F232</f>
        <v>-9.7000000000000003E-3</v>
      </c>
      <c r="M232">
        <f t="shared" si="23"/>
        <v>3109.8063938654091</v>
      </c>
      <c r="N232">
        <f t="shared" si="24"/>
        <v>2944.8249271476043</v>
      </c>
      <c r="O232">
        <f t="shared" si="25"/>
        <v>3420.9774301369644</v>
      </c>
    </row>
    <row r="233" spans="1:15" x14ac:dyDescent="0.25">
      <c r="A233" s="3">
        <v>42853</v>
      </c>
      <c r="B233" s="1">
        <v>1.1764999999999999E-2</v>
      </c>
      <c r="C233" s="1">
        <v>2.6298999999999999E-2</v>
      </c>
      <c r="D233" s="1">
        <v>9.9979999999999999E-3</v>
      </c>
      <c r="E233" s="1">
        <f>'Fama-French Data'!D233</f>
        <v>5.0000000000000001E-4</v>
      </c>
      <c r="F233">
        <f t="shared" si="20"/>
        <v>1.1264999999999999E-2</v>
      </c>
      <c r="G233">
        <f t="shared" si="21"/>
        <v>2.5798999999999999E-2</v>
      </c>
      <c r="H233">
        <f t="shared" si="22"/>
        <v>9.4979999999999995E-3</v>
      </c>
      <c r="I233" s="1">
        <f>'Fama-French Data'!A233</f>
        <v>1.0800000000000001E-2</v>
      </c>
      <c r="J233" s="1">
        <f>'Fama-French Data'!B233</f>
        <v>6.6E-3</v>
      </c>
      <c r="K233" s="1">
        <f>'Fama-French Data'!C233</f>
        <v>-2.0500000000000001E-2</v>
      </c>
      <c r="L233">
        <f>'Fama-French Data'!F233</f>
        <v>4.7999999999999996E-3</v>
      </c>
      <c r="M233">
        <f t="shared" si="23"/>
        <v>3146.3932660892356</v>
      </c>
      <c r="N233">
        <f t="shared" si="24"/>
        <v>3022.2708779066593</v>
      </c>
      <c r="O233">
        <f t="shared" si="25"/>
        <v>3455.1803624834733</v>
      </c>
    </row>
    <row r="234" spans="1:15" x14ac:dyDescent="0.25">
      <c r="A234" s="3">
        <v>42886</v>
      </c>
      <c r="B234" s="1">
        <v>4.4700000000000002E-4</v>
      </c>
      <c r="C234" s="1">
        <v>3.125E-2</v>
      </c>
      <c r="D234" s="1">
        <v>1.3772E-2</v>
      </c>
      <c r="E234" s="1">
        <f>'Fama-French Data'!D234</f>
        <v>5.9999999999999995E-4</v>
      </c>
      <c r="F234">
        <f t="shared" si="20"/>
        <v>-1.5299999999999992E-4</v>
      </c>
      <c r="G234">
        <f t="shared" si="21"/>
        <v>3.065E-2</v>
      </c>
      <c r="H234">
        <f t="shared" si="22"/>
        <v>1.3172E-2</v>
      </c>
      <c r="I234" s="1">
        <f>'Fama-French Data'!A234</f>
        <v>1.0699999999999999E-2</v>
      </c>
      <c r="J234" s="1">
        <f>'Fama-French Data'!B234</f>
        <v>-2.52E-2</v>
      </c>
      <c r="K234" s="1">
        <f>'Fama-French Data'!C234</f>
        <v>-3.8199999999999998E-2</v>
      </c>
      <c r="L234">
        <f>'Fama-French Data'!F234</f>
        <v>1.4999999999999999E-2</v>
      </c>
      <c r="M234">
        <f t="shared" si="23"/>
        <v>3147.7997038791777</v>
      </c>
      <c r="N234">
        <f t="shared" si="24"/>
        <v>3116.7168428412424</v>
      </c>
      <c r="O234">
        <f t="shared" si="25"/>
        <v>3502.7651064355955</v>
      </c>
    </row>
    <row r="235" spans="1:15" x14ac:dyDescent="0.25">
      <c r="A235" s="3">
        <v>42916</v>
      </c>
      <c r="B235" s="1">
        <v>1.4295E-2</v>
      </c>
      <c r="C235" s="1">
        <v>-7.273E-3</v>
      </c>
      <c r="D235" s="1">
        <v>6.058E-3</v>
      </c>
      <c r="E235" s="1">
        <f>'Fama-French Data'!D235</f>
        <v>5.9999999999999995E-4</v>
      </c>
      <c r="F235">
        <f t="shared" si="20"/>
        <v>1.3695000000000001E-2</v>
      </c>
      <c r="G235">
        <f t="shared" si="21"/>
        <v>-7.8729999999999998E-3</v>
      </c>
      <c r="H235">
        <f t="shared" si="22"/>
        <v>5.4580000000000002E-3</v>
      </c>
      <c r="I235" s="1">
        <f>'Fama-French Data'!A235</f>
        <v>7.9000000000000008E-3</v>
      </c>
      <c r="J235" s="1">
        <f>'Fama-French Data'!B235</f>
        <v>2.2100000000000002E-2</v>
      </c>
      <c r="K235" s="1">
        <f>'Fama-French Data'!C235</f>
        <v>1.4999999999999999E-2</v>
      </c>
      <c r="L235">
        <f>'Fama-French Data'!F235</f>
        <v>-1E-3</v>
      </c>
      <c r="M235">
        <f t="shared" si="23"/>
        <v>3192.7975006461306</v>
      </c>
      <c r="N235">
        <f t="shared" si="24"/>
        <v>3094.048961243258</v>
      </c>
      <c r="O235">
        <f t="shared" si="25"/>
        <v>3523.9848574503822</v>
      </c>
    </row>
    <row r="236" spans="1:15" x14ac:dyDescent="0.25">
      <c r="A236" s="3">
        <v>42947</v>
      </c>
      <c r="B236" s="1">
        <v>7.9469999999999992E-3</v>
      </c>
      <c r="C236" s="1">
        <v>2.4420000000000001E-2</v>
      </c>
      <c r="D236" s="1">
        <v>1.9914999999999999E-2</v>
      </c>
      <c r="E236" s="1">
        <f>'Fama-French Data'!D236</f>
        <v>6.9999999999999999E-4</v>
      </c>
      <c r="F236">
        <f t="shared" si="20"/>
        <v>7.2469999999999991E-3</v>
      </c>
      <c r="G236">
        <f t="shared" si="21"/>
        <v>2.3720000000000001E-2</v>
      </c>
      <c r="H236">
        <f t="shared" si="22"/>
        <v>1.9214999999999999E-2</v>
      </c>
      <c r="I236" s="1">
        <f>'Fama-French Data'!A236</f>
        <v>1.8800000000000001E-2</v>
      </c>
      <c r="J236" s="1">
        <f>'Fama-French Data'!B236</f>
        <v>-1.4500000000000001E-2</v>
      </c>
      <c r="K236" s="1">
        <f>'Fama-French Data'!C236</f>
        <v>-2.3E-3</v>
      </c>
      <c r="L236">
        <f>'Fama-French Data'!F236</f>
        <v>1.6299999999999999E-2</v>
      </c>
      <c r="M236">
        <f t="shared" si="23"/>
        <v>3218.1706623837654</v>
      </c>
      <c r="N236">
        <f t="shared" si="24"/>
        <v>3169.6056368768186</v>
      </c>
      <c r="O236">
        <f t="shared" si="25"/>
        <v>3594.1650158865064</v>
      </c>
    </row>
    <row r="237" spans="1:15" x14ac:dyDescent="0.25">
      <c r="A237" s="3">
        <v>42978</v>
      </c>
      <c r="B237" s="1">
        <v>-9.1979999999999996E-3</v>
      </c>
      <c r="C237" s="1">
        <v>1.9963999999999999E-2</v>
      </c>
      <c r="D237" s="1">
        <v>2.493E-3</v>
      </c>
      <c r="E237" s="1">
        <f>'Fama-French Data'!D237</f>
        <v>8.9999999999999998E-4</v>
      </c>
      <c r="F237">
        <f t="shared" si="20"/>
        <v>-1.0097999999999999E-2</v>
      </c>
      <c r="G237">
        <f t="shared" si="21"/>
        <v>1.9063999999999998E-2</v>
      </c>
      <c r="H237">
        <f t="shared" si="22"/>
        <v>1.593E-3</v>
      </c>
      <c r="I237" s="1">
        <f>'Fama-French Data'!A237</f>
        <v>1.8E-3</v>
      </c>
      <c r="J237" s="1">
        <f>'Fama-French Data'!B237</f>
        <v>-1.67E-2</v>
      </c>
      <c r="K237" s="1">
        <f>'Fama-French Data'!C237</f>
        <v>-2.1299999999999999E-2</v>
      </c>
      <c r="L237">
        <f>'Fama-French Data'!F237</f>
        <v>3.3099999999999997E-2</v>
      </c>
      <c r="M237">
        <f t="shared" si="23"/>
        <v>3188.5699286311592</v>
      </c>
      <c r="N237">
        <f t="shared" si="24"/>
        <v>3232.8836438114276</v>
      </c>
      <c r="O237">
        <f t="shared" si="25"/>
        <v>3603.1252692711118</v>
      </c>
    </row>
    <row r="238" spans="1:15" x14ac:dyDescent="0.25">
      <c r="A238" s="3">
        <v>43007</v>
      </c>
      <c r="B238" s="1">
        <v>3.5199000000000001E-2</v>
      </c>
      <c r="C238" s="1">
        <v>1.7527999999999998E-2</v>
      </c>
      <c r="D238" s="1">
        <v>2.0778999999999999E-2</v>
      </c>
      <c r="E238" s="1">
        <f>'Fama-French Data'!D238</f>
        <v>8.9999999999999998E-4</v>
      </c>
      <c r="F238">
        <f t="shared" si="20"/>
        <v>3.4299000000000003E-2</v>
      </c>
      <c r="G238">
        <f t="shared" si="21"/>
        <v>1.6627999999999997E-2</v>
      </c>
      <c r="H238">
        <f t="shared" si="22"/>
        <v>1.9878999999999997E-2</v>
      </c>
      <c r="I238" s="1">
        <f>'Fama-French Data'!A238</f>
        <v>2.4899999999999999E-2</v>
      </c>
      <c r="J238" s="1">
        <f>'Fama-French Data'!B238</f>
        <v>4.4499999999999998E-2</v>
      </c>
      <c r="K238" s="1">
        <f>'Fama-French Data'!C238</f>
        <v>3.15E-2</v>
      </c>
      <c r="L238">
        <f>'Fama-French Data'!F238</f>
        <v>-1.35E-2</v>
      </c>
      <c r="M238">
        <f t="shared" si="23"/>
        <v>3300.8044015490473</v>
      </c>
      <c r="N238">
        <f t="shared" si="24"/>
        <v>3289.5496283201542</v>
      </c>
      <c r="O238">
        <f t="shared" si="25"/>
        <v>3677.9946092412965</v>
      </c>
    </row>
    <row r="239" spans="1:15" x14ac:dyDescent="0.25">
      <c r="A239" s="3">
        <v>43039</v>
      </c>
      <c r="B239" s="1">
        <v>1.6309000000000001E-2</v>
      </c>
      <c r="C239" s="1">
        <v>3.4166000000000002E-2</v>
      </c>
      <c r="D239" s="1">
        <v>2.3649E-2</v>
      </c>
      <c r="E239" s="1">
        <f>'Fama-French Data'!D239</f>
        <v>8.9999999999999998E-4</v>
      </c>
      <c r="F239">
        <f t="shared" si="20"/>
        <v>1.5409000000000001E-2</v>
      </c>
      <c r="G239">
        <f t="shared" si="21"/>
        <v>3.3266000000000004E-2</v>
      </c>
      <c r="H239">
        <f t="shared" si="22"/>
        <v>2.2748999999999998E-2</v>
      </c>
      <c r="I239" s="1">
        <f>'Fama-French Data'!A239</f>
        <v>2.2599999999999999E-2</v>
      </c>
      <c r="J239" s="1">
        <f>'Fama-French Data'!B239</f>
        <v>-1.9300000000000001E-2</v>
      </c>
      <c r="K239" s="1">
        <f>'Fama-French Data'!C239</f>
        <v>1.2999999999999999E-3</v>
      </c>
      <c r="L239">
        <f>'Fama-French Data'!F239</f>
        <v>4.2099999999999999E-2</v>
      </c>
      <c r="M239">
        <f t="shared" si="23"/>
        <v>3354.6372205339103</v>
      </c>
      <c r="N239">
        <f t="shared" si="24"/>
        <v>3401.9403809213404</v>
      </c>
      <c r="O239">
        <f t="shared" si="25"/>
        <v>3764.9755037552441</v>
      </c>
    </row>
    <row r="240" spans="1:15" x14ac:dyDescent="0.25">
      <c r="A240" s="3">
        <v>43069</v>
      </c>
      <c r="B240" s="1">
        <v>3.7583999999999999E-2</v>
      </c>
      <c r="C240" s="1">
        <v>4.0254999999999999E-2</v>
      </c>
      <c r="D240" s="1">
        <v>3.15E-2</v>
      </c>
      <c r="E240" s="1">
        <f>'Fama-French Data'!D240</f>
        <v>8.0000000000000004E-4</v>
      </c>
      <c r="F240">
        <f t="shared" si="20"/>
        <v>3.6783999999999997E-2</v>
      </c>
      <c r="G240">
        <f t="shared" si="21"/>
        <v>3.9454999999999997E-2</v>
      </c>
      <c r="H240">
        <f t="shared" si="22"/>
        <v>3.0700000000000002E-2</v>
      </c>
      <c r="I240" s="1">
        <f>'Fama-French Data'!A240</f>
        <v>3.1199999999999999E-2</v>
      </c>
      <c r="J240" s="1">
        <f>'Fama-French Data'!B240</f>
        <v>-6.0000000000000001E-3</v>
      </c>
      <c r="K240" s="1">
        <f>'Fama-French Data'!C240</f>
        <v>-8.9999999999999998E-4</v>
      </c>
      <c r="L240">
        <f>'Fama-French Data'!F240</f>
        <v>-9.4000000000000004E-3</v>
      </c>
      <c r="M240">
        <f t="shared" si="23"/>
        <v>3480.7179058304569</v>
      </c>
      <c r="N240">
        <f t="shared" si="24"/>
        <v>3538.8854909553288</v>
      </c>
      <c r="O240">
        <f t="shared" si="25"/>
        <v>3883.5722321235344</v>
      </c>
    </row>
    <row r="241" spans="1:15" x14ac:dyDescent="0.25">
      <c r="A241" s="3">
        <v>43098</v>
      </c>
      <c r="B241" s="1">
        <v>1.1528E-2</v>
      </c>
      <c r="C241" s="1">
        <v>5.6599999999999999E-4</v>
      </c>
      <c r="D241" s="1">
        <v>1.1455999999999999E-2</v>
      </c>
      <c r="E241" s="1">
        <f>'Fama-French Data'!D241</f>
        <v>8.9999999999999998E-4</v>
      </c>
      <c r="F241">
        <f t="shared" si="20"/>
        <v>1.0628E-2</v>
      </c>
      <c r="G241">
        <f t="shared" si="21"/>
        <v>-3.3399999999999999E-4</v>
      </c>
      <c r="H241">
        <f t="shared" si="22"/>
        <v>1.0555999999999999E-2</v>
      </c>
      <c r="I241" s="1">
        <f>'Fama-French Data'!A241</f>
        <v>1.06E-2</v>
      </c>
      <c r="J241" s="1">
        <f>'Fama-French Data'!B241</f>
        <v>-1.32E-2</v>
      </c>
      <c r="K241" s="1">
        <f>'Fama-French Data'!C241</f>
        <v>5.0000000000000001E-4</v>
      </c>
      <c r="L241">
        <f>'Fama-French Data'!F241</f>
        <v>-1.55E-2</v>
      </c>
      <c r="M241">
        <f t="shared" si="23"/>
        <v>3520.8436218488705</v>
      </c>
      <c r="N241">
        <f t="shared" si="24"/>
        <v>3540.88850014321</v>
      </c>
      <c r="O241">
        <f t="shared" si="25"/>
        <v>3928.0624356147414</v>
      </c>
    </row>
    <row r="242" spans="1:15" x14ac:dyDescent="0.25">
      <c r="A242" s="3">
        <v>43131</v>
      </c>
      <c r="B242" s="1">
        <v>3.9025999999999998E-2</v>
      </c>
      <c r="C242" s="1">
        <v>7.2029999999999997E-2</v>
      </c>
      <c r="D242" s="1">
        <v>5.7564999999999998E-2</v>
      </c>
      <c r="E242" s="1">
        <f>'Fama-French Data'!D242</f>
        <v>1.1000000000000001E-3</v>
      </c>
      <c r="F242">
        <f t="shared" si="20"/>
        <v>3.7926000000000001E-2</v>
      </c>
      <c r="G242">
        <f t="shared" si="21"/>
        <v>7.0929999999999993E-2</v>
      </c>
      <c r="H242">
        <f t="shared" si="22"/>
        <v>5.6465000000000001E-2</v>
      </c>
      <c r="I242" s="1">
        <f>'Fama-French Data'!A242</f>
        <v>5.5800000000000002E-2</v>
      </c>
      <c r="J242" s="1">
        <f>'Fama-French Data'!B242</f>
        <v>-3.1600000000000003E-2</v>
      </c>
      <c r="K242" s="1">
        <f>'Fama-French Data'!C242</f>
        <v>-1.32E-2</v>
      </c>
      <c r="L242">
        <f>'Fama-French Data'!F242</f>
        <v>4.0800000000000003E-2</v>
      </c>
      <c r="M242">
        <f t="shared" si="23"/>
        <v>3658.2480650351445</v>
      </c>
      <c r="N242">
        <f t="shared" si="24"/>
        <v>3795.9386988085257</v>
      </c>
      <c r="O242">
        <f t="shared" si="25"/>
        <v>4154.1813497209041</v>
      </c>
    </row>
    <row r="243" spans="1:15" x14ac:dyDescent="0.25">
      <c r="A243" s="3">
        <v>43159</v>
      </c>
      <c r="B243" s="1">
        <v>-4.8061E-2</v>
      </c>
      <c r="C243" s="1">
        <v>-1.7240999999999999E-2</v>
      </c>
      <c r="D243" s="1">
        <v>-3.6594000000000002E-2</v>
      </c>
      <c r="E243" s="1">
        <f>'Fama-French Data'!D243</f>
        <v>1.1000000000000001E-3</v>
      </c>
      <c r="F243">
        <f t="shared" si="20"/>
        <v>-4.9160999999999996E-2</v>
      </c>
      <c r="G243">
        <f t="shared" si="21"/>
        <v>-1.8341E-2</v>
      </c>
      <c r="H243">
        <f t="shared" si="22"/>
        <v>-3.7693999999999998E-2</v>
      </c>
      <c r="I243" s="1">
        <f>'Fama-French Data'!A243</f>
        <v>-3.6400000000000002E-2</v>
      </c>
      <c r="J243" s="1">
        <f>'Fama-French Data'!B243</f>
        <v>2.7000000000000001E-3</v>
      </c>
      <c r="K243" s="1">
        <f>'Fama-French Data'!C243</f>
        <v>-1.0999999999999999E-2</v>
      </c>
      <c r="L243">
        <f>'Fama-French Data'!F243</f>
        <v>3.6799999999999999E-2</v>
      </c>
      <c r="M243">
        <f t="shared" si="23"/>
        <v>3482.4290047814902</v>
      </c>
      <c r="N243">
        <f t="shared" si="24"/>
        <v>3730.492919702368</v>
      </c>
      <c r="O243">
        <f t="shared" si="25"/>
        <v>4002.1632374092173</v>
      </c>
    </row>
    <row r="244" spans="1:15" x14ac:dyDescent="0.25">
      <c r="A244" s="3">
        <v>43188</v>
      </c>
      <c r="B244" s="1">
        <v>-2.2959E-2</v>
      </c>
      <c r="C244" s="1">
        <v>-3.3798000000000002E-2</v>
      </c>
      <c r="D244" s="1">
        <v>-2.6360000000000001E-2</v>
      </c>
      <c r="E244" s="1">
        <f>'Fama-French Data'!D244</f>
        <v>1.1999999999999999E-3</v>
      </c>
      <c r="F244">
        <f t="shared" si="20"/>
        <v>-2.4159E-2</v>
      </c>
      <c r="G244">
        <f t="shared" si="21"/>
        <v>-3.4998000000000001E-2</v>
      </c>
      <c r="H244">
        <f t="shared" si="22"/>
        <v>-2.7560000000000001E-2</v>
      </c>
      <c r="I244" s="1">
        <f>'Fama-French Data'!A244</f>
        <v>-2.35E-2</v>
      </c>
      <c r="J244" s="1">
        <f>'Fama-French Data'!B244</f>
        <v>4.0500000000000001E-2</v>
      </c>
      <c r="K244" s="1">
        <f>'Fama-French Data'!C244</f>
        <v>-2.0999999999999999E-3</v>
      </c>
      <c r="L244">
        <f>'Fama-French Data'!F244</f>
        <v>-1.2E-2</v>
      </c>
      <c r="M244">
        <f t="shared" si="23"/>
        <v>3402.4759172607123</v>
      </c>
      <c r="N244">
        <f t="shared" si="24"/>
        <v>3604.4097200022675</v>
      </c>
      <c r="O244">
        <f t="shared" si="25"/>
        <v>3896.6662144711104</v>
      </c>
    </row>
    <row r="245" spans="1:15" x14ac:dyDescent="0.25">
      <c r="A245" s="3">
        <v>43220</v>
      </c>
      <c r="B245" s="1">
        <v>-1.3079999999999999E-3</v>
      </c>
      <c r="C245" s="1">
        <v>4.5389999999999996E-3</v>
      </c>
      <c r="D245" s="1">
        <v>3.1480000000000002E-3</v>
      </c>
      <c r="E245" s="1">
        <f>'Fama-French Data'!D245</f>
        <v>1.4E-3</v>
      </c>
      <c r="F245">
        <f t="shared" si="20"/>
        <v>-2.7079999999999999E-3</v>
      </c>
      <c r="G245">
        <f t="shared" si="21"/>
        <v>3.1389999999999994E-3</v>
      </c>
      <c r="H245">
        <f t="shared" si="22"/>
        <v>1.7480000000000002E-3</v>
      </c>
      <c r="I245" s="1">
        <f>'Fama-French Data'!A245</f>
        <v>2.7000000000000001E-3</v>
      </c>
      <c r="J245" s="1">
        <f>'Fama-French Data'!B245</f>
        <v>1.09E-2</v>
      </c>
      <c r="K245" s="1">
        <f>'Fama-French Data'!C245</f>
        <v>5.3E-3</v>
      </c>
      <c r="L245">
        <f>'Fama-French Data'!F245</f>
        <v>4.4999999999999997E-3</v>
      </c>
      <c r="M245">
        <f t="shared" si="23"/>
        <v>3398.0254787609356</v>
      </c>
      <c r="N245">
        <f t="shared" si="24"/>
        <v>3620.7701357213582</v>
      </c>
      <c r="O245">
        <f t="shared" si="25"/>
        <v>3908.9329197142652</v>
      </c>
    </row>
    <row r="246" spans="1:15" x14ac:dyDescent="0.25">
      <c r="A246" s="3">
        <v>43251</v>
      </c>
      <c r="B246" s="1">
        <v>1.4847000000000001E-2</v>
      </c>
      <c r="C246" s="1">
        <v>4.6783999999999999E-2</v>
      </c>
      <c r="D246" s="1">
        <v>2.3730000000000001E-2</v>
      </c>
      <c r="E246" s="1">
        <f>'Fama-French Data'!D246</f>
        <v>1.4E-3</v>
      </c>
      <c r="F246">
        <f t="shared" si="20"/>
        <v>1.3447000000000001E-2</v>
      </c>
      <c r="G246">
        <f t="shared" si="21"/>
        <v>4.5384000000000001E-2</v>
      </c>
      <c r="H246">
        <f t="shared" si="22"/>
        <v>2.2330000000000003E-2</v>
      </c>
      <c r="I246" s="1">
        <f>'Fama-French Data'!A246</f>
        <v>2.6599999999999999E-2</v>
      </c>
      <c r="J246" s="1">
        <f>'Fama-French Data'!B246</f>
        <v>5.2400000000000002E-2</v>
      </c>
      <c r="K246" s="1">
        <f>'Fama-French Data'!C246</f>
        <v>-3.1399999999999997E-2</v>
      </c>
      <c r="L246">
        <f>'Fama-French Data'!F246</f>
        <v>3.9100000000000003E-2</v>
      </c>
      <c r="M246">
        <f t="shared" si="23"/>
        <v>3448.4759630440994</v>
      </c>
      <c r="N246">
        <f t="shared" si="24"/>
        <v>3790.1642457509461</v>
      </c>
      <c r="O246">
        <f t="shared" si="25"/>
        <v>4001.6918978990848</v>
      </c>
    </row>
    <row r="247" spans="1:15" x14ac:dyDescent="0.25">
      <c r="A247" s="3">
        <v>43280</v>
      </c>
      <c r="B247" s="1">
        <v>-3.408E-3</v>
      </c>
      <c r="C247" s="1">
        <v>7.6199999999999998E-4</v>
      </c>
      <c r="D247" s="1">
        <v>5.1089999999999998E-3</v>
      </c>
      <c r="E247" s="1">
        <f>'Fama-French Data'!D247</f>
        <v>1.4E-3</v>
      </c>
      <c r="F247">
        <f t="shared" si="20"/>
        <v>-4.8079999999999998E-3</v>
      </c>
      <c r="G247">
        <f t="shared" si="21"/>
        <v>-6.38E-4</v>
      </c>
      <c r="H247">
        <f t="shared" si="22"/>
        <v>3.7089999999999996E-3</v>
      </c>
      <c r="I247" s="1">
        <f>'Fama-French Data'!A247</f>
        <v>4.8999999999999998E-3</v>
      </c>
      <c r="J247" s="1">
        <f>'Fama-French Data'!B247</f>
        <v>1.11E-2</v>
      </c>
      <c r="K247" s="1">
        <f>'Fama-French Data'!C247</f>
        <v>-2.3300000000000001E-2</v>
      </c>
      <c r="L247">
        <f>'Fama-French Data'!F247</f>
        <v>-2.2599999999999999E-2</v>
      </c>
      <c r="M247">
        <f t="shared" si="23"/>
        <v>3436.7235569620452</v>
      </c>
      <c r="N247">
        <f t="shared" si="24"/>
        <v>3793.0523509062082</v>
      </c>
      <c r="O247">
        <f t="shared" si="25"/>
        <v>4022.1365418054515</v>
      </c>
    </row>
    <row r="248" spans="1:15" x14ac:dyDescent="0.25">
      <c r="A248" s="3">
        <v>43312</v>
      </c>
      <c r="B248" s="1">
        <v>4.3309E-2</v>
      </c>
      <c r="C248" s="1">
        <v>1.7000999999999999E-2</v>
      </c>
      <c r="D248" s="1">
        <v>3.8064000000000001E-2</v>
      </c>
      <c r="E248" s="1">
        <f>'Fama-French Data'!D248</f>
        <v>1.6000000000000001E-3</v>
      </c>
      <c r="F248">
        <f t="shared" si="20"/>
        <v>4.1709000000000003E-2</v>
      </c>
      <c r="G248">
        <f t="shared" si="21"/>
        <v>1.5400999999999998E-2</v>
      </c>
      <c r="H248">
        <f t="shared" si="22"/>
        <v>3.6464000000000003E-2</v>
      </c>
      <c r="I248" s="1">
        <f>'Fama-French Data'!A248</f>
        <v>3.2000000000000001E-2</v>
      </c>
      <c r="J248" s="1">
        <f>'Fama-French Data'!B248</f>
        <v>-2.23E-2</v>
      </c>
      <c r="K248" s="1">
        <f>'Fama-French Data'!C248</f>
        <v>4.8999999999999998E-3</v>
      </c>
      <c r="L248">
        <f>'Fama-French Data'!F248</f>
        <v>-1.43E-2</v>
      </c>
      <c r="M248">
        <f t="shared" si="23"/>
        <v>3585.5646174905146</v>
      </c>
      <c r="N248">
        <f t="shared" si="24"/>
        <v>3857.5380339239646</v>
      </c>
      <c r="O248">
        <f t="shared" si="25"/>
        <v>4175.2351471327347</v>
      </c>
    </row>
    <row r="249" spans="1:15" x14ac:dyDescent="0.25">
      <c r="A249" s="3">
        <v>43343</v>
      </c>
      <c r="B249" s="1">
        <v>1.2038E-2</v>
      </c>
      <c r="C249" s="1">
        <v>6.2126000000000001E-2</v>
      </c>
      <c r="D249" s="1">
        <v>3.243E-2</v>
      </c>
      <c r="E249" s="1">
        <f>'Fama-French Data'!D249</f>
        <v>1.6000000000000001E-3</v>
      </c>
      <c r="F249">
        <f t="shared" si="20"/>
        <v>1.0437999999999999E-2</v>
      </c>
      <c r="G249">
        <f t="shared" si="21"/>
        <v>6.0526000000000003E-2</v>
      </c>
      <c r="H249">
        <f t="shared" si="22"/>
        <v>3.083E-2</v>
      </c>
      <c r="I249" s="1">
        <f>'Fama-French Data'!A249</f>
        <v>3.4500000000000003E-2</v>
      </c>
      <c r="J249" s="1">
        <f>'Fama-French Data'!B249</f>
        <v>1.14E-2</v>
      </c>
      <c r="K249" s="1">
        <f>'Fama-French Data'!C249</f>
        <v>-3.9100000000000003E-2</v>
      </c>
      <c r="L249">
        <f>'Fama-French Data'!F249</f>
        <v>5.2999999999999999E-2</v>
      </c>
      <c r="M249">
        <f t="shared" si="23"/>
        <v>3628.7276443558653</v>
      </c>
      <c r="N249">
        <f t="shared" si="24"/>
        <v>4097.1914418195247</v>
      </c>
      <c r="O249">
        <f t="shared" si="25"/>
        <v>4310.6380229542492</v>
      </c>
    </row>
    <row r="250" spans="1:15" x14ac:dyDescent="0.25">
      <c r="A250" s="3">
        <v>43371</v>
      </c>
      <c r="B250" s="1">
        <v>3.7910000000000001E-3</v>
      </c>
      <c r="C250" s="1">
        <v>2.114E-3</v>
      </c>
      <c r="D250" s="1">
        <v>5.568E-3</v>
      </c>
      <c r="E250" s="1">
        <f>'Fama-French Data'!D250</f>
        <v>1.5E-3</v>
      </c>
      <c r="F250">
        <f t="shared" si="20"/>
        <v>2.2910000000000001E-3</v>
      </c>
      <c r="G250">
        <f t="shared" si="21"/>
        <v>6.1399999999999996E-4</v>
      </c>
      <c r="H250">
        <f t="shared" si="22"/>
        <v>4.0680000000000004E-3</v>
      </c>
      <c r="I250" s="1">
        <f>'Fama-French Data'!A250</f>
        <v>5.9999999999999995E-4</v>
      </c>
      <c r="J250" s="1">
        <f>'Fama-French Data'!B250</f>
        <v>-2.29E-2</v>
      </c>
      <c r="K250" s="1">
        <f>'Fama-French Data'!C250</f>
        <v>-1.6199999999999999E-2</v>
      </c>
      <c r="L250">
        <f>'Fama-French Data'!F250</f>
        <v>-8.0000000000000004E-4</v>
      </c>
      <c r="M250">
        <f t="shared" si="23"/>
        <v>3642.4841508556187</v>
      </c>
      <c r="N250">
        <f t="shared" si="24"/>
        <v>4105.8529045275309</v>
      </c>
      <c r="O250">
        <f t="shared" si="25"/>
        <v>4334.6396554660587</v>
      </c>
    </row>
    <row r="251" spans="1:15" x14ac:dyDescent="0.25">
      <c r="A251" s="3">
        <v>43404</v>
      </c>
      <c r="B251" s="1">
        <v>-5.9811999999999997E-2</v>
      </c>
      <c r="C251" s="1">
        <v>-0.11744</v>
      </c>
      <c r="D251" s="1">
        <v>-6.8413000000000002E-2</v>
      </c>
      <c r="E251" s="1">
        <f>'Fama-French Data'!D251</f>
        <v>1.9E-3</v>
      </c>
      <c r="F251">
        <f t="shared" si="20"/>
        <v>-6.1711999999999996E-2</v>
      </c>
      <c r="G251">
        <f t="shared" si="21"/>
        <v>-0.11934</v>
      </c>
      <c r="H251">
        <f t="shared" si="22"/>
        <v>-7.0313000000000001E-2</v>
      </c>
      <c r="I251" s="1">
        <f>'Fama-French Data'!A251</f>
        <v>-7.6499999999999999E-2</v>
      </c>
      <c r="J251" s="1">
        <f>'Fama-French Data'!B251</f>
        <v>-4.7E-2</v>
      </c>
      <c r="K251" s="1">
        <f>'Fama-French Data'!C251</f>
        <v>3.3799999999999997E-2</v>
      </c>
      <c r="L251">
        <f>'Fama-French Data'!F251</f>
        <v>-2.06E-2</v>
      </c>
      <c r="M251">
        <f t="shared" si="23"/>
        <v>3424.6198888246427</v>
      </c>
      <c r="N251">
        <f t="shared" si="24"/>
        <v>3623.6615394198179</v>
      </c>
      <c r="O251">
        <f t="shared" si="25"/>
        <v>4038.0939527166588</v>
      </c>
    </row>
    <row r="252" spans="1:15" x14ac:dyDescent="0.25">
      <c r="A252" s="3">
        <v>43434</v>
      </c>
      <c r="B252" s="1">
        <v>1.9172000000000002E-2</v>
      </c>
      <c r="C252" s="1">
        <v>1.3015000000000001E-2</v>
      </c>
      <c r="D252" s="1">
        <v>1.1474E-2</v>
      </c>
      <c r="E252" s="1">
        <f>'Fama-French Data'!D252</f>
        <v>1.8E-3</v>
      </c>
      <c r="F252">
        <f t="shared" si="20"/>
        <v>1.7372000000000002E-2</v>
      </c>
      <c r="G252">
        <f t="shared" si="21"/>
        <v>1.1215000000000001E-2</v>
      </c>
      <c r="H252">
        <f t="shared" si="22"/>
        <v>9.6740000000000003E-3</v>
      </c>
      <c r="I252" s="1">
        <f>'Fama-French Data'!A252</f>
        <v>1.7100000000000001E-2</v>
      </c>
      <c r="J252" s="1">
        <f>'Fama-French Data'!B252</f>
        <v>-7.3000000000000001E-3</v>
      </c>
      <c r="K252" s="1">
        <f>'Fama-French Data'!C252</f>
        <v>3.5999999999999999E-3</v>
      </c>
      <c r="L252">
        <f>'Fama-French Data'!F252</f>
        <v>-1.4E-2</v>
      </c>
      <c r="M252">
        <f t="shared" si="23"/>
        <v>3490.2767013331886</v>
      </c>
      <c r="N252">
        <f t="shared" si="24"/>
        <v>3670.8234943553671</v>
      </c>
      <c r="O252">
        <f t="shared" si="25"/>
        <v>4084.4270427301299</v>
      </c>
    </row>
    <row r="253" spans="1:15" x14ac:dyDescent="0.25">
      <c r="A253" s="3">
        <v>43465</v>
      </c>
      <c r="B253" s="1">
        <v>-9.6646999999999997E-2</v>
      </c>
      <c r="C253" s="1">
        <v>-9.7128000000000006E-2</v>
      </c>
      <c r="D253" s="1">
        <v>-9.0440999999999994E-2</v>
      </c>
      <c r="E253" s="1">
        <f>'Fama-French Data'!D253</f>
        <v>1.9E-3</v>
      </c>
      <c r="F253">
        <f t="shared" si="20"/>
        <v>-9.8546999999999996E-2</v>
      </c>
      <c r="G253">
        <f t="shared" si="21"/>
        <v>-9.9028000000000005E-2</v>
      </c>
      <c r="H253">
        <f t="shared" si="22"/>
        <v>-9.2340999999999993E-2</v>
      </c>
      <c r="I253" s="1">
        <f>'Fama-French Data'!A253</f>
        <v>-9.5500000000000002E-2</v>
      </c>
      <c r="J253" s="1">
        <f>'Fama-French Data'!B253</f>
        <v>-2.3099999999999999E-2</v>
      </c>
      <c r="K253" s="1">
        <f>'Fama-French Data'!C253</f>
        <v>-1.9199999999999998E-2</v>
      </c>
      <c r="L253">
        <f>'Fama-French Data'!F253</f>
        <v>1.7600000000000001E-2</v>
      </c>
      <c r="M253">
        <f t="shared" si="23"/>
        <v>3152.9519289794398</v>
      </c>
      <c r="N253">
        <f t="shared" si="24"/>
        <v>3314.283749995619</v>
      </c>
      <c r="O253">
        <f t="shared" si="25"/>
        <v>3715.0273765585744</v>
      </c>
    </row>
    <row r="254" spans="1:15" x14ac:dyDescent="0.25">
      <c r="A254" s="3">
        <v>43496</v>
      </c>
      <c r="B254" s="1">
        <v>6.6979999999999998E-2</v>
      </c>
      <c r="C254" s="1">
        <v>9.7921999999999995E-2</v>
      </c>
      <c r="D254" s="1">
        <v>7.9332E-2</v>
      </c>
      <c r="E254" s="1">
        <f>'Fama-French Data'!D254</f>
        <v>2.0999999999999999E-3</v>
      </c>
      <c r="F254">
        <f t="shared" si="20"/>
        <v>6.4879999999999993E-2</v>
      </c>
      <c r="G254">
        <f t="shared" si="21"/>
        <v>9.5821999999999991E-2</v>
      </c>
      <c r="H254">
        <f t="shared" si="22"/>
        <v>7.7231999999999995E-2</v>
      </c>
      <c r="I254" s="1">
        <f>'Fama-French Data'!A254</f>
        <v>8.3699999999999997E-2</v>
      </c>
      <c r="J254" s="1">
        <f>'Fama-French Data'!B254</f>
        <v>2.76E-2</v>
      </c>
      <c r="K254" s="1">
        <f>'Fama-French Data'!C254</f>
        <v>-3.8999999999999998E-3</v>
      </c>
      <c r="L254">
        <f>'Fama-French Data'!F254</f>
        <v>-8.6199999999999999E-2</v>
      </c>
      <c r="M254">
        <f t="shared" si="23"/>
        <v>3364.1366491824829</v>
      </c>
      <c r="N254">
        <f t="shared" si="24"/>
        <v>3638.8250433626904</v>
      </c>
      <c r="O254">
        <f t="shared" si="25"/>
        <v>4009.7479283957191</v>
      </c>
    </row>
    <row r="255" spans="1:15" x14ac:dyDescent="0.25">
      <c r="A255" s="3">
        <v>43524</v>
      </c>
      <c r="B255" s="1">
        <v>2.9184999999999999E-2</v>
      </c>
      <c r="C255" s="1">
        <v>3.4648999999999999E-2</v>
      </c>
      <c r="D255" s="1">
        <v>3.1914999999999999E-2</v>
      </c>
      <c r="E255" s="1">
        <f>'Fama-French Data'!D255</f>
        <v>1.8E-3</v>
      </c>
      <c r="F255">
        <f t="shared" si="20"/>
        <v>2.7385E-2</v>
      </c>
      <c r="G255">
        <f t="shared" si="21"/>
        <v>3.2848999999999996E-2</v>
      </c>
      <c r="H255">
        <f t="shared" si="22"/>
        <v>3.0114999999999999E-2</v>
      </c>
      <c r="I255" s="1">
        <f>'Fama-French Data'!A255</f>
        <v>3.4200000000000001E-2</v>
      </c>
      <c r="J255" s="1">
        <f>'Fama-French Data'!B255</f>
        <v>2.0500000000000001E-2</v>
      </c>
      <c r="K255" s="1">
        <f>'Fama-French Data'!C255</f>
        <v>-2.6599999999999999E-2</v>
      </c>
      <c r="L255">
        <f>'Fama-French Data'!F255</f>
        <v>5.0000000000000001E-3</v>
      </c>
      <c r="M255">
        <f t="shared" si="23"/>
        <v>3462.3189772888736</v>
      </c>
      <c r="N255">
        <f t="shared" si="24"/>
        <v>3764.9066922901638</v>
      </c>
      <c r="O255">
        <f t="shared" si="25"/>
        <v>4137.7190335304686</v>
      </c>
    </row>
    <row r="256" spans="1:15" x14ac:dyDescent="0.25">
      <c r="A256" s="3">
        <v>43553</v>
      </c>
      <c r="B256" s="1">
        <v>7.1130000000000004E-3</v>
      </c>
      <c r="C256" s="1">
        <v>2.1085E-2</v>
      </c>
      <c r="D256" s="1">
        <v>1.8581E-2</v>
      </c>
      <c r="E256" s="1">
        <f>'Fama-French Data'!D256</f>
        <v>1.9E-3</v>
      </c>
      <c r="F256">
        <f t="shared" si="20"/>
        <v>5.2130000000000006E-3</v>
      </c>
      <c r="G256">
        <f t="shared" si="21"/>
        <v>1.9185000000000001E-2</v>
      </c>
      <c r="H256">
        <f t="shared" si="22"/>
        <v>1.6681000000000001E-2</v>
      </c>
      <c r="I256" s="1">
        <f>'Fama-French Data'!A256</f>
        <v>1.0999999999999999E-2</v>
      </c>
      <c r="J256" s="1">
        <f>'Fama-French Data'!B256</f>
        <v>-3.0300000000000001E-2</v>
      </c>
      <c r="K256" s="1">
        <f>'Fama-French Data'!C256</f>
        <v>-4.1399999999999999E-2</v>
      </c>
      <c r="L256">
        <f>'Fama-French Data'!F256</f>
        <v>2.24E-2</v>
      </c>
      <c r="M256">
        <f t="shared" si="23"/>
        <v>3486.9464521743289</v>
      </c>
      <c r="N256">
        <f t="shared" si="24"/>
        <v>3844.289749897102</v>
      </c>
      <c r="O256">
        <f t="shared" si="25"/>
        <v>4214.6019908924982</v>
      </c>
    </row>
    <row r="257" spans="1:15" x14ac:dyDescent="0.25">
      <c r="A257" s="3">
        <v>43585</v>
      </c>
      <c r="B257" s="1">
        <v>3.8913000000000003E-2</v>
      </c>
      <c r="C257" s="1">
        <v>4.5551000000000001E-2</v>
      </c>
      <c r="D257" s="1">
        <v>4.0864999999999999E-2</v>
      </c>
      <c r="E257" s="1">
        <f>'Fama-French Data'!D257</f>
        <v>2.0999999999999999E-3</v>
      </c>
      <c r="F257">
        <f t="shared" si="20"/>
        <v>3.6813000000000005E-2</v>
      </c>
      <c r="G257">
        <f t="shared" si="21"/>
        <v>4.3451000000000004E-2</v>
      </c>
      <c r="H257">
        <f t="shared" si="22"/>
        <v>3.8765000000000001E-2</v>
      </c>
      <c r="I257" s="1">
        <f>'Fama-French Data'!A257</f>
        <v>3.9699999999999999E-2</v>
      </c>
      <c r="J257" s="1">
        <f>'Fama-French Data'!B257</f>
        <v>-1.7399999999999999E-2</v>
      </c>
      <c r="K257" s="1">
        <f>'Fama-French Data'!C257</f>
        <v>2.1299999999999999E-2</v>
      </c>
      <c r="L257">
        <f>'Fama-French Data'!F257</f>
        <v>-2.9100000000000001E-2</v>
      </c>
      <c r="M257">
        <f t="shared" si="23"/>
        <v>3622.6339994677883</v>
      </c>
      <c r="N257">
        <f t="shared" si="24"/>
        <v>4019.4009922946643</v>
      </c>
      <c r="O257">
        <f t="shared" si="25"/>
        <v>4386.8317012503194</v>
      </c>
    </row>
    <row r="258" spans="1:15" x14ac:dyDescent="0.25">
      <c r="A258" s="3">
        <v>43616</v>
      </c>
      <c r="B258" s="1">
        <v>-5.5925999999999997E-2</v>
      </c>
      <c r="C258" s="1">
        <v>-6.6512000000000002E-2</v>
      </c>
      <c r="D258" s="1">
        <v>-6.4310000000000006E-2</v>
      </c>
      <c r="E258" s="1">
        <f>'Fama-French Data'!D258</f>
        <v>2.0999999999999999E-3</v>
      </c>
      <c r="F258">
        <f t="shared" ref="F258:F325" si="26">B258-$E258</f>
        <v>-5.8025999999999994E-2</v>
      </c>
      <c r="G258">
        <f t="shared" ref="G258:G325" si="27">C258-$E258</f>
        <v>-6.8612000000000006E-2</v>
      </c>
      <c r="H258">
        <f t="shared" ref="H258:H325" si="28">D258-$E258</f>
        <v>-6.6410000000000011E-2</v>
      </c>
      <c r="I258" s="1">
        <f>'Fama-French Data'!A258</f>
        <v>-6.9199999999999998E-2</v>
      </c>
      <c r="J258" s="1">
        <f>'Fama-French Data'!B258</f>
        <v>-1.26E-2</v>
      </c>
      <c r="K258" s="1">
        <f>'Fama-French Data'!C258</f>
        <v>-2.4500000000000001E-2</v>
      </c>
      <c r="L258">
        <f>'Fama-French Data'!F258</f>
        <v>7.5499999999999998E-2</v>
      </c>
      <c r="M258">
        <f t="shared" si="23"/>
        <v>3420.0345704135525</v>
      </c>
      <c r="N258">
        <f t="shared" si="24"/>
        <v>3752.0625934951618</v>
      </c>
      <c r="O258">
        <f t="shared" si="25"/>
        <v>4104.7145545429112</v>
      </c>
    </row>
    <row r="259" spans="1:15" x14ac:dyDescent="0.25">
      <c r="A259" s="3">
        <v>43644</v>
      </c>
      <c r="B259" s="1">
        <v>6.2533000000000005E-2</v>
      </c>
      <c r="C259" s="1">
        <v>7.0940000000000003E-2</v>
      </c>
      <c r="D259" s="1">
        <v>7.0322999999999997E-2</v>
      </c>
      <c r="E259" s="1">
        <f>'Fama-French Data'!D259</f>
        <v>1.8E-3</v>
      </c>
      <c r="F259">
        <f t="shared" si="26"/>
        <v>6.0733000000000002E-2</v>
      </c>
      <c r="G259">
        <f t="shared" si="27"/>
        <v>6.9140000000000007E-2</v>
      </c>
      <c r="H259">
        <f t="shared" si="28"/>
        <v>6.8523000000000001E-2</v>
      </c>
      <c r="I259" s="1">
        <f>'Fama-French Data'!A259</f>
        <v>6.9199999999999998E-2</v>
      </c>
      <c r="J259" s="1">
        <f>'Fama-French Data'!B259</f>
        <v>2.5999999999999999E-3</v>
      </c>
      <c r="K259" s="1">
        <f>'Fama-French Data'!C259</f>
        <v>-6.4000000000000003E-3</v>
      </c>
      <c r="L259">
        <f>'Fama-French Data'!F259</f>
        <v>-2.24E-2</v>
      </c>
      <c r="M259">
        <f t="shared" si="23"/>
        <v>3633.8995922052231</v>
      </c>
      <c r="N259">
        <f t="shared" si="24"/>
        <v>4018.2339138777083</v>
      </c>
      <c r="O259">
        <f t="shared" si="25"/>
        <v>4393.3703961620322</v>
      </c>
    </row>
    <row r="260" spans="1:15" x14ac:dyDescent="0.25">
      <c r="A260" s="3">
        <v>43677</v>
      </c>
      <c r="B260" s="1">
        <v>1.2319999999999999E-2</v>
      </c>
      <c r="C260" s="1">
        <v>1.3363999999999999E-2</v>
      </c>
      <c r="D260" s="1">
        <v>1.3886000000000001E-2</v>
      </c>
      <c r="E260" s="1">
        <f>'Fama-French Data'!D260</f>
        <v>1.9E-3</v>
      </c>
      <c r="F260">
        <f t="shared" si="26"/>
        <v>1.0419999999999999E-2</v>
      </c>
      <c r="G260">
        <f t="shared" si="27"/>
        <v>1.1463999999999998E-2</v>
      </c>
      <c r="H260">
        <f t="shared" si="28"/>
        <v>1.1986E-2</v>
      </c>
      <c r="I260" s="1">
        <f>'Fama-French Data'!A260</f>
        <v>1.23E-2</v>
      </c>
      <c r="J260" s="1">
        <f>'Fama-French Data'!B260</f>
        <v>-1.9599999999999999E-2</v>
      </c>
      <c r="K260" s="1">
        <f>'Fama-French Data'!C260</f>
        <v>5.0000000000000001E-3</v>
      </c>
      <c r="L260">
        <f>'Fama-French Data'!F260</f>
        <v>2.92E-2</v>
      </c>
      <c r="M260">
        <f t="shared" ref="M260:M323" si="29">M259*(B260+1)</f>
        <v>3678.6692351811921</v>
      </c>
      <c r="N260">
        <f t="shared" ref="N260:N323" si="30">N259*(C260+1)</f>
        <v>4071.9335919027699</v>
      </c>
      <c r="O260">
        <f t="shared" ref="O260:O323" si="31">O259*(D260+1)</f>
        <v>4454.3767374831386</v>
      </c>
    </row>
    <row r="261" spans="1:15" x14ac:dyDescent="0.25">
      <c r="A261" s="3">
        <v>43707</v>
      </c>
      <c r="B261" s="1">
        <v>-1.5213000000000001E-2</v>
      </c>
      <c r="C261" s="1">
        <v>-9.1739999999999999E-3</v>
      </c>
      <c r="D261" s="1">
        <v>-1.6681000000000001E-2</v>
      </c>
      <c r="E261" s="1">
        <f>'Fama-French Data'!D261</f>
        <v>1.6000000000000001E-3</v>
      </c>
      <c r="F261">
        <f t="shared" si="26"/>
        <v>-1.6813000000000002E-2</v>
      </c>
      <c r="G261">
        <f t="shared" si="27"/>
        <v>-1.0774000000000001E-2</v>
      </c>
      <c r="H261">
        <f t="shared" si="28"/>
        <v>-1.8281000000000002E-2</v>
      </c>
      <c r="I261" s="1">
        <f>'Fama-French Data'!A261</f>
        <v>-2.5499999999999998E-2</v>
      </c>
      <c r="J261" s="1">
        <f>'Fama-French Data'!B261</f>
        <v>-2.3900000000000001E-2</v>
      </c>
      <c r="K261" s="1">
        <f>'Fama-French Data'!C261</f>
        <v>-4.7699999999999999E-2</v>
      </c>
      <c r="L261">
        <f>'Fama-French Data'!F261</f>
        <v>7.51E-2</v>
      </c>
      <c r="M261">
        <f t="shared" si="29"/>
        <v>3622.7056401063805</v>
      </c>
      <c r="N261">
        <f t="shared" si="30"/>
        <v>4034.5776731306537</v>
      </c>
      <c r="O261">
        <f t="shared" si="31"/>
        <v>4380.073279125183</v>
      </c>
    </row>
    <row r="262" spans="1:15" x14ac:dyDescent="0.25">
      <c r="A262" s="3">
        <v>43738</v>
      </c>
      <c r="B262" s="1">
        <v>2.5798000000000001E-2</v>
      </c>
      <c r="C262" s="1">
        <v>-2.1701000000000002E-2</v>
      </c>
      <c r="D262" s="1">
        <v>1.8568000000000001E-2</v>
      </c>
      <c r="E262" s="1">
        <f>'Fama-French Data'!D262</f>
        <v>1.8E-3</v>
      </c>
      <c r="F262">
        <f t="shared" si="26"/>
        <v>2.3998000000000002E-2</v>
      </c>
      <c r="G262">
        <f t="shared" si="27"/>
        <v>-2.3501000000000001E-2</v>
      </c>
      <c r="H262">
        <f t="shared" si="28"/>
        <v>1.6768000000000002E-2</v>
      </c>
      <c r="I262" s="1">
        <f>'Fama-French Data'!A262</f>
        <v>1.41E-2</v>
      </c>
      <c r="J262" s="1">
        <f>'Fama-French Data'!B262</f>
        <v>-9.7000000000000003E-3</v>
      </c>
      <c r="K262" s="1">
        <f>'Fama-French Data'!C262</f>
        <v>6.7599999999999993E-2</v>
      </c>
      <c r="L262">
        <f>'Fama-French Data'!F262</f>
        <v>-6.7400000000000002E-2</v>
      </c>
      <c r="M262">
        <f t="shared" si="29"/>
        <v>3716.1642002098447</v>
      </c>
      <c r="N262">
        <f t="shared" si="30"/>
        <v>3947.0233030460454</v>
      </c>
      <c r="O262">
        <f t="shared" si="31"/>
        <v>4461.4024797719794</v>
      </c>
    </row>
    <row r="263" spans="1:15" x14ac:dyDescent="0.25">
      <c r="A263" s="3">
        <v>43769</v>
      </c>
      <c r="B263" s="1">
        <v>0</v>
      </c>
      <c r="C263" s="1">
        <v>2.8098000000000001E-2</v>
      </c>
      <c r="D263" s="1">
        <v>2.1682E-2</v>
      </c>
      <c r="E263" s="1">
        <f>'Fama-French Data'!D263</f>
        <v>1.5E-3</v>
      </c>
      <c r="F263">
        <f t="shared" si="26"/>
        <v>-1.5E-3</v>
      </c>
      <c r="G263">
        <f t="shared" si="27"/>
        <v>2.6598E-2</v>
      </c>
      <c r="H263">
        <f t="shared" si="28"/>
        <v>2.0181999999999999E-2</v>
      </c>
      <c r="I263" s="1">
        <f>'Fama-French Data'!A263</f>
        <v>2.07E-2</v>
      </c>
      <c r="J263" s="1">
        <f>'Fama-French Data'!B263</f>
        <v>2.7000000000000001E-3</v>
      </c>
      <c r="K263" s="1">
        <f>'Fama-French Data'!C263</f>
        <v>-1.9199999999999998E-2</v>
      </c>
      <c r="L263">
        <f>'Fama-French Data'!F263</f>
        <v>1.2999999999999999E-3</v>
      </c>
      <c r="M263">
        <f t="shared" si="29"/>
        <v>3716.1642002098447</v>
      </c>
      <c r="N263">
        <f t="shared" si="30"/>
        <v>4057.9267638150332</v>
      </c>
      <c r="O263">
        <f t="shared" si="31"/>
        <v>4558.1346083383951</v>
      </c>
    </row>
    <row r="264" spans="1:15" x14ac:dyDescent="0.25">
      <c r="A264" s="3">
        <v>43798</v>
      </c>
      <c r="B264" s="1">
        <v>2.6196000000000001E-2</v>
      </c>
      <c r="C264" s="1">
        <v>6.1565000000000002E-2</v>
      </c>
      <c r="D264" s="1">
        <v>3.6228000000000003E-2</v>
      </c>
      <c r="E264" s="1">
        <f>'Fama-French Data'!D264</f>
        <v>1.1999999999999999E-3</v>
      </c>
      <c r="F264">
        <f t="shared" si="26"/>
        <v>2.4996000000000001E-2</v>
      </c>
      <c r="G264">
        <f t="shared" si="27"/>
        <v>6.0365000000000002E-2</v>
      </c>
      <c r="H264">
        <f t="shared" si="28"/>
        <v>3.5028000000000004E-2</v>
      </c>
      <c r="I264" s="1">
        <f>'Fama-French Data'!A264</f>
        <v>3.8699999999999998E-2</v>
      </c>
      <c r="J264" s="1">
        <f>'Fama-French Data'!B264</f>
        <v>7.1999999999999998E-3</v>
      </c>
      <c r="K264" s="1">
        <f>'Fama-French Data'!C264</f>
        <v>-0.02</v>
      </c>
      <c r="L264">
        <f>'Fama-French Data'!F264</f>
        <v>-2.5399999999999999E-2</v>
      </c>
      <c r="M264">
        <f t="shared" si="29"/>
        <v>3813.5128375985423</v>
      </c>
      <c r="N264">
        <f t="shared" si="30"/>
        <v>4307.7530250293057</v>
      </c>
      <c r="O264">
        <f t="shared" si="31"/>
        <v>4723.2667089292781</v>
      </c>
    </row>
    <row r="265" spans="1:15" x14ac:dyDescent="0.25">
      <c r="A265" s="3">
        <v>43830</v>
      </c>
      <c r="B265" s="1">
        <v>3.4708000000000003E-2</v>
      </c>
      <c r="C265" s="1">
        <v>2.1465999999999999E-2</v>
      </c>
      <c r="D265" s="1">
        <v>2.9530000000000001E-2</v>
      </c>
      <c r="E265" s="1">
        <f>'Fama-French Data'!D265</f>
        <v>1.4E-3</v>
      </c>
      <c r="F265">
        <f t="shared" si="26"/>
        <v>3.3308000000000004E-2</v>
      </c>
      <c r="G265">
        <f t="shared" si="27"/>
        <v>2.0066000000000001E-2</v>
      </c>
      <c r="H265">
        <f t="shared" si="28"/>
        <v>2.8130000000000002E-2</v>
      </c>
      <c r="I265" s="1">
        <f>'Fama-French Data'!A265</f>
        <v>2.7699999999999999E-2</v>
      </c>
      <c r="J265" s="1">
        <f>'Fama-French Data'!B265</f>
        <v>7.6E-3</v>
      </c>
      <c r="K265" s="1">
        <f>'Fama-French Data'!C265</f>
        <v>1.7299999999999999E-2</v>
      </c>
      <c r="L265">
        <f>'Fama-French Data'!F265</f>
        <v>-2.2200000000000001E-2</v>
      </c>
      <c r="M265">
        <f t="shared" si="29"/>
        <v>3945.8722411659123</v>
      </c>
      <c r="N265">
        <f t="shared" si="30"/>
        <v>4400.2232514645848</v>
      </c>
      <c r="O265">
        <f t="shared" si="31"/>
        <v>4862.7447748439599</v>
      </c>
    </row>
    <row r="266" spans="1:15" x14ac:dyDescent="0.25">
      <c r="A266" s="3">
        <v>43861</v>
      </c>
      <c r="B266" s="1">
        <v>-2.7897000000000002E-2</v>
      </c>
      <c r="C266" s="1">
        <v>3.1710000000000002E-2</v>
      </c>
      <c r="D266" s="1">
        <v>-1.0480000000000001E-3</v>
      </c>
      <c r="E266" s="1">
        <f>'Fama-French Data'!D266</f>
        <v>1.2999999999999999E-3</v>
      </c>
      <c r="F266">
        <f t="shared" si="26"/>
        <v>-2.9197000000000001E-2</v>
      </c>
      <c r="G266">
        <f t="shared" si="27"/>
        <v>3.0410000000000003E-2</v>
      </c>
      <c r="H266">
        <f t="shared" si="28"/>
        <v>-2.3480000000000003E-3</v>
      </c>
      <c r="I266" s="1">
        <f>'Fama-French Data'!A266</f>
        <v>-1.1000000000000001E-3</v>
      </c>
      <c r="J266" s="1">
        <f>'Fama-French Data'!B266</f>
        <v>-3.1E-2</v>
      </c>
      <c r="K266" s="1">
        <f>'Fama-French Data'!C266</f>
        <v>-6.2199999999999998E-2</v>
      </c>
      <c r="L266">
        <f>'Fama-French Data'!F266</f>
        <v>6.0199999999999997E-2</v>
      </c>
      <c r="M266">
        <f t="shared" si="29"/>
        <v>3835.7942432541072</v>
      </c>
      <c r="N266">
        <f t="shared" si="30"/>
        <v>4539.7543307685264</v>
      </c>
      <c r="O266">
        <f t="shared" si="31"/>
        <v>4857.6486183199231</v>
      </c>
    </row>
    <row r="267" spans="1:15" x14ac:dyDescent="0.25">
      <c r="A267" s="3">
        <v>43889</v>
      </c>
      <c r="B267" s="1">
        <v>-0.114054</v>
      </c>
      <c r="C267" s="1">
        <v>-6.2738000000000002E-2</v>
      </c>
      <c r="D267" s="1">
        <v>-8.2721000000000003E-2</v>
      </c>
      <c r="E267" s="1">
        <f>'Fama-French Data'!D267</f>
        <v>1.1999999999999999E-3</v>
      </c>
      <c r="F267">
        <f t="shared" si="26"/>
        <v>-0.11525400000000001</v>
      </c>
      <c r="G267">
        <f t="shared" si="27"/>
        <v>-6.3938000000000009E-2</v>
      </c>
      <c r="H267">
        <f t="shared" si="28"/>
        <v>-8.3921000000000009E-2</v>
      </c>
      <c r="I267" s="1">
        <f>'Fama-French Data'!A267</f>
        <v>-8.1500000000000003E-2</v>
      </c>
      <c r="J267" s="1">
        <f>'Fama-French Data'!B267</f>
        <v>1.0800000000000001E-2</v>
      </c>
      <c r="K267" s="1">
        <f>'Fama-French Data'!C267</f>
        <v>-3.8199999999999998E-2</v>
      </c>
      <c r="L267">
        <f>'Fama-French Data'!F267</f>
        <v>-2.8E-3</v>
      </c>
      <c r="M267">
        <f t="shared" si="29"/>
        <v>3398.3065666340035</v>
      </c>
      <c r="N267">
        <f t="shared" si="30"/>
        <v>4254.9392235647711</v>
      </c>
      <c r="O267">
        <f t="shared" si="31"/>
        <v>4455.8190669638807</v>
      </c>
    </row>
    <row r="268" spans="1:15" x14ac:dyDescent="0.25">
      <c r="A268" s="3">
        <v>43921</v>
      </c>
      <c r="B268" s="1">
        <v>-0.14618</v>
      </c>
      <c r="C268" s="1">
        <v>-0.105139</v>
      </c>
      <c r="D268" s="1">
        <v>-0.124194</v>
      </c>
      <c r="E268" s="1">
        <f>'Fama-French Data'!D268</f>
        <v>1.1999999999999999E-3</v>
      </c>
      <c r="F268">
        <f t="shared" si="26"/>
        <v>-0.14738000000000001</v>
      </c>
      <c r="G268">
        <f t="shared" si="27"/>
        <v>-0.106339</v>
      </c>
      <c r="H268">
        <f t="shared" si="28"/>
        <v>-0.12539400000000001</v>
      </c>
      <c r="I268" s="1">
        <f>'Fama-French Data'!A268</f>
        <v>-0.13370000000000001</v>
      </c>
      <c r="J268" s="1">
        <f>'Fama-French Data'!B268</f>
        <v>-4.6899999999999997E-2</v>
      </c>
      <c r="K268" s="1">
        <f>'Fama-French Data'!C268</f>
        <v>-0.13830000000000001</v>
      </c>
      <c r="L268">
        <f>'Fama-French Data'!F268</f>
        <v>8.2100000000000006E-2</v>
      </c>
      <c r="M268">
        <f t="shared" si="29"/>
        <v>2901.5421127234449</v>
      </c>
      <c r="N268">
        <f t="shared" si="30"/>
        <v>3807.5791685383947</v>
      </c>
      <c r="O268">
        <f t="shared" si="31"/>
        <v>3902.4330737613682</v>
      </c>
    </row>
    <row r="269" spans="1:15" x14ac:dyDescent="0.25">
      <c r="A269" s="3">
        <v>43951</v>
      </c>
      <c r="B269" s="1">
        <v>0.114481</v>
      </c>
      <c r="C269" s="1">
        <v>0.15867000000000001</v>
      </c>
      <c r="D269" s="1">
        <v>0.12795300000000001</v>
      </c>
      <c r="E269" s="1">
        <f>'Fama-French Data'!D269</f>
        <v>0</v>
      </c>
      <c r="F269">
        <f t="shared" si="26"/>
        <v>0.114481</v>
      </c>
      <c r="G269">
        <f t="shared" si="27"/>
        <v>0.15867000000000001</v>
      </c>
      <c r="H269">
        <f t="shared" si="28"/>
        <v>0.12795300000000001</v>
      </c>
      <c r="I269" s="1">
        <f>'Fama-French Data'!A269</f>
        <v>0.13600000000000001</v>
      </c>
      <c r="J269" s="1">
        <f>'Fama-French Data'!B269</f>
        <v>2.5000000000000001E-2</v>
      </c>
      <c r="K269" s="1">
        <f>'Fama-French Data'!C269</f>
        <v>-1.34E-2</v>
      </c>
      <c r="L269">
        <f>'Fama-French Data'!F269</f>
        <v>-5.4800000000000001E-2</v>
      </c>
      <c r="M269">
        <f t="shared" si="29"/>
        <v>3233.7135553301378</v>
      </c>
      <c r="N269">
        <f t="shared" si="30"/>
        <v>4411.7277552103824</v>
      </c>
      <c r="O269">
        <f t="shared" si="31"/>
        <v>4401.7610928483564</v>
      </c>
    </row>
    <row r="270" spans="1:15" x14ac:dyDescent="0.25">
      <c r="A270" s="3">
        <v>43980</v>
      </c>
      <c r="B270" s="1">
        <v>4.3020000000000003E-2</v>
      </c>
      <c r="C270" s="1">
        <v>7.3688000000000003E-2</v>
      </c>
      <c r="D270" s="1">
        <v>4.7314000000000002E-2</v>
      </c>
      <c r="E270" s="1">
        <f>'Fama-French Data'!D270</f>
        <v>1E-4</v>
      </c>
      <c r="F270">
        <f t="shared" si="26"/>
        <v>4.292E-2</v>
      </c>
      <c r="G270">
        <f t="shared" si="27"/>
        <v>7.3588000000000001E-2</v>
      </c>
      <c r="H270">
        <f t="shared" si="28"/>
        <v>4.7213999999999999E-2</v>
      </c>
      <c r="I270" s="1">
        <f>'Fama-French Data'!A270</f>
        <v>5.57E-2</v>
      </c>
      <c r="J270" s="1">
        <f>'Fama-French Data'!B270</f>
        <v>2.4E-2</v>
      </c>
      <c r="K270" s="1">
        <f>'Fama-French Data'!C270</f>
        <v>-0.05</v>
      </c>
      <c r="L270">
        <f>'Fama-French Data'!F270</f>
        <v>1.6000000000000001E-3</v>
      </c>
      <c r="M270">
        <f t="shared" si="29"/>
        <v>3372.8279124804403</v>
      </c>
      <c r="N270">
        <f t="shared" si="30"/>
        <v>4736.8191500363246</v>
      </c>
      <c r="O270">
        <f t="shared" si="31"/>
        <v>4610.0260171953842</v>
      </c>
    </row>
    <row r="271" spans="1:15" x14ac:dyDescent="0.25">
      <c r="A271" s="3">
        <v>44012</v>
      </c>
      <c r="B271" s="1">
        <v>-1.2054E-2</v>
      </c>
      <c r="C271" s="1">
        <v>5.0105999999999998E-2</v>
      </c>
      <c r="D271" s="1">
        <v>1.968E-2</v>
      </c>
      <c r="E271" s="1">
        <f>'Fama-French Data'!D271</f>
        <v>1E-4</v>
      </c>
      <c r="F271">
        <f t="shared" si="26"/>
        <v>-1.2154E-2</v>
      </c>
      <c r="G271">
        <f t="shared" si="27"/>
        <v>5.0005999999999995E-2</v>
      </c>
      <c r="H271">
        <f t="shared" si="28"/>
        <v>1.958E-2</v>
      </c>
      <c r="I271" s="1">
        <f>'Fama-French Data'!A271</f>
        <v>2.4500000000000001E-2</v>
      </c>
      <c r="J271" s="1">
        <f>'Fama-French Data'!B271</f>
        <v>2.6700000000000002E-2</v>
      </c>
      <c r="K271" s="1">
        <f>'Fama-French Data'!C271</f>
        <v>-2.1700000000000001E-2</v>
      </c>
      <c r="L271">
        <f>'Fama-French Data'!F271</f>
        <v>-8.3000000000000001E-3</v>
      </c>
      <c r="M271">
        <f t="shared" si="29"/>
        <v>3332.171844823401</v>
      </c>
      <c r="N271">
        <f t="shared" si="30"/>
        <v>4974.1622103680447</v>
      </c>
      <c r="O271">
        <f t="shared" si="31"/>
        <v>4700.7513292137892</v>
      </c>
    </row>
    <row r="272" spans="1:15" x14ac:dyDescent="0.25">
      <c r="A272" s="3">
        <v>44043</v>
      </c>
      <c r="B272" s="1">
        <v>2.3952000000000001E-2</v>
      </c>
      <c r="C272" s="1">
        <v>7.7501E-2</v>
      </c>
      <c r="D272" s="1">
        <v>5.5858999999999999E-2</v>
      </c>
      <c r="E272" s="1">
        <f>'Fama-French Data'!D272</f>
        <v>1E-4</v>
      </c>
      <c r="F272">
        <f t="shared" si="26"/>
        <v>2.3852000000000002E-2</v>
      </c>
      <c r="G272">
        <f t="shared" si="27"/>
        <v>7.7400999999999998E-2</v>
      </c>
      <c r="H272">
        <f t="shared" si="28"/>
        <v>5.5758999999999996E-2</v>
      </c>
      <c r="I272" s="1">
        <f>'Fama-French Data'!A272</f>
        <v>5.8299999999999998E-2</v>
      </c>
      <c r="J272" s="1">
        <f>'Fama-French Data'!B272</f>
        <v>-2.35E-2</v>
      </c>
      <c r="K272" s="1">
        <f>'Fama-French Data'!C272</f>
        <v>-1.44E-2</v>
      </c>
      <c r="L272">
        <f>'Fama-French Data'!F272</f>
        <v>7.7100000000000002E-2</v>
      </c>
      <c r="M272">
        <f t="shared" si="29"/>
        <v>3411.9840248506111</v>
      </c>
      <c r="N272">
        <f t="shared" si="30"/>
        <v>5359.6647558337791</v>
      </c>
      <c r="O272">
        <f t="shared" si="31"/>
        <v>4963.3305977123428</v>
      </c>
    </row>
    <row r="273" spans="1:15" x14ac:dyDescent="0.25">
      <c r="A273" s="3">
        <v>44074</v>
      </c>
      <c r="B273" s="1">
        <v>2.5898000000000001E-2</v>
      </c>
      <c r="C273" s="1">
        <v>0.12882399999999999</v>
      </c>
      <c r="D273" s="1">
        <v>7.1687000000000001E-2</v>
      </c>
      <c r="E273" s="1">
        <f>'Fama-French Data'!D273</f>
        <v>1E-4</v>
      </c>
      <c r="F273">
        <f t="shared" si="26"/>
        <v>2.5798000000000001E-2</v>
      </c>
      <c r="G273">
        <f t="shared" si="27"/>
        <v>0.12872400000000001</v>
      </c>
      <c r="H273">
        <f t="shared" si="28"/>
        <v>7.1586999999999998E-2</v>
      </c>
      <c r="I273" s="1">
        <f>'Fama-French Data'!A273</f>
        <v>7.6200000000000004E-2</v>
      </c>
      <c r="J273" s="1">
        <f>'Fama-French Data'!B273</f>
        <v>-2E-3</v>
      </c>
      <c r="K273" s="1">
        <f>'Fama-French Data'!C273</f>
        <v>-3.0200000000000001E-2</v>
      </c>
      <c r="L273">
        <f>'Fama-French Data'!F273</f>
        <v>4.5999999999999999E-3</v>
      </c>
      <c r="M273">
        <f t="shared" si="29"/>
        <v>3500.3475871261921</v>
      </c>
      <c r="N273">
        <f t="shared" si="30"/>
        <v>6050.1182083393105</v>
      </c>
      <c r="O273">
        <f t="shared" si="31"/>
        <v>5319.1368782705476</v>
      </c>
    </row>
    <row r="274" spans="1:15" x14ac:dyDescent="0.25">
      <c r="A274" s="3">
        <v>44104</v>
      </c>
      <c r="B274" s="1">
        <v>-2.3182000000000001E-2</v>
      </c>
      <c r="C274" s="1">
        <v>-3.5425999999999999E-2</v>
      </c>
      <c r="D274" s="1">
        <v>-3.9073999999999998E-2</v>
      </c>
      <c r="E274" s="1">
        <f>'Fama-French Data'!D274</f>
        <v>1E-4</v>
      </c>
      <c r="F274">
        <f t="shared" si="26"/>
        <v>-2.3282000000000001E-2</v>
      </c>
      <c r="G274">
        <f t="shared" si="27"/>
        <v>-3.5526000000000002E-2</v>
      </c>
      <c r="H274">
        <f t="shared" si="28"/>
        <v>-3.9174E-2</v>
      </c>
      <c r="I274" s="1">
        <f>'Fama-French Data'!A274</f>
        <v>-3.6400000000000002E-2</v>
      </c>
      <c r="J274" s="1">
        <f>'Fama-French Data'!B274</f>
        <v>5.9999999999999995E-4</v>
      </c>
      <c r="K274" s="1">
        <f>'Fama-French Data'!C274</f>
        <v>-2.7199999999999998E-2</v>
      </c>
      <c r="L274">
        <f>'Fama-French Data'!F274</f>
        <v>3.1899999999999998E-2</v>
      </c>
      <c r="M274">
        <f t="shared" si="29"/>
        <v>3419.2025293614324</v>
      </c>
      <c r="N274">
        <f t="shared" si="30"/>
        <v>5835.7867206906822</v>
      </c>
      <c r="O274">
        <f t="shared" si="31"/>
        <v>5111.2969238890037</v>
      </c>
    </row>
    <row r="275" spans="1:15" x14ac:dyDescent="0.25">
      <c r="A275" s="3">
        <v>44134</v>
      </c>
      <c r="B275" s="1">
        <v>-2.8476000000000001E-2</v>
      </c>
      <c r="C275" s="1">
        <v>-4.3628E-2</v>
      </c>
      <c r="D275" s="1">
        <v>-3.0120000000000001E-2</v>
      </c>
      <c r="E275" s="1">
        <f>'Fama-French Data'!D275</f>
        <v>1E-4</v>
      </c>
      <c r="F275">
        <f t="shared" si="26"/>
        <v>-2.8576000000000001E-2</v>
      </c>
      <c r="G275">
        <f t="shared" si="27"/>
        <v>-4.3728000000000003E-2</v>
      </c>
      <c r="H275">
        <f t="shared" si="28"/>
        <v>-3.022E-2</v>
      </c>
      <c r="I275" s="1">
        <f>'Fama-French Data'!A275</f>
        <v>-2.0799999999999999E-2</v>
      </c>
      <c r="J275" s="1">
        <f>'Fama-French Data'!B275</f>
        <v>4.3400000000000001E-2</v>
      </c>
      <c r="K275" s="1">
        <f>'Fama-French Data'!C275</f>
        <v>4.2500000000000003E-2</v>
      </c>
      <c r="L275">
        <f>'Fama-French Data'!F275</f>
        <v>-3.1399999999999997E-2</v>
      </c>
      <c r="M275">
        <f t="shared" si="29"/>
        <v>3321.8373181353363</v>
      </c>
      <c r="N275">
        <f t="shared" si="30"/>
        <v>5581.1830176403892</v>
      </c>
      <c r="O275">
        <f t="shared" si="31"/>
        <v>4957.3446605414665</v>
      </c>
    </row>
    <row r="276" spans="1:15" x14ac:dyDescent="0.25">
      <c r="A276" s="3">
        <v>44165</v>
      </c>
      <c r="B276" s="1">
        <v>0.138793</v>
      </c>
      <c r="C276" s="1">
        <v>0.10592799999999999</v>
      </c>
      <c r="D276" s="1">
        <v>0.10935599999999999</v>
      </c>
      <c r="E276" s="1">
        <f>'Fama-French Data'!D276</f>
        <v>1E-4</v>
      </c>
      <c r="F276">
        <f t="shared" si="26"/>
        <v>0.13869300000000001</v>
      </c>
      <c r="G276">
        <f t="shared" si="27"/>
        <v>0.10582799999999999</v>
      </c>
      <c r="H276">
        <f t="shared" si="28"/>
        <v>0.10925599999999999</v>
      </c>
      <c r="I276" s="1">
        <f>'Fama-French Data'!A276</f>
        <v>0.1245</v>
      </c>
      <c r="J276" s="1">
        <f>'Fama-French Data'!B276</f>
        <v>5.8099999999999999E-2</v>
      </c>
      <c r="K276" s="1">
        <f>'Fama-French Data'!C276</f>
        <v>2.0899999999999998E-2</v>
      </c>
      <c r="L276">
        <f>'Fama-French Data'!F276</f>
        <v>-0.1255</v>
      </c>
      <c r="M276">
        <f t="shared" si="29"/>
        <v>3782.8850850312938</v>
      </c>
      <c r="N276">
        <f t="shared" si="30"/>
        <v>6172.386572333</v>
      </c>
      <c r="O276">
        <f t="shared" si="31"/>
        <v>5499.4600432396392</v>
      </c>
    </row>
    <row r="277" spans="1:15" x14ac:dyDescent="0.25">
      <c r="A277" s="3">
        <v>44196</v>
      </c>
      <c r="B277" s="1">
        <v>4.2209000000000003E-2</v>
      </c>
      <c r="C277" s="1">
        <v>5.0606999999999999E-2</v>
      </c>
      <c r="D277" s="1">
        <v>3.8225000000000002E-2</v>
      </c>
      <c r="E277" s="1">
        <f>'Fama-French Data'!D277</f>
        <v>1E-4</v>
      </c>
      <c r="F277">
        <f t="shared" si="26"/>
        <v>4.2109000000000001E-2</v>
      </c>
      <c r="G277">
        <f t="shared" si="27"/>
        <v>5.0506999999999996E-2</v>
      </c>
      <c r="H277">
        <f t="shared" si="28"/>
        <v>3.8124999999999999E-2</v>
      </c>
      <c r="I277" s="1">
        <f>'Fama-French Data'!A277</f>
        <v>4.6300000000000001E-2</v>
      </c>
      <c r="J277" s="1">
        <f>'Fama-French Data'!B277</f>
        <v>5.0099999999999999E-2</v>
      </c>
      <c r="K277" s="1">
        <f>'Fama-French Data'!C277</f>
        <v>-1.6799999999999999E-2</v>
      </c>
      <c r="L277">
        <f>'Fama-French Data'!F277</f>
        <v>-2.3699999999999999E-2</v>
      </c>
      <c r="M277">
        <f t="shared" si="29"/>
        <v>3942.5568815853794</v>
      </c>
      <c r="N277">
        <f t="shared" si="30"/>
        <v>6484.7525395990569</v>
      </c>
      <c r="O277">
        <f t="shared" si="31"/>
        <v>5709.6769033924738</v>
      </c>
    </row>
    <row r="278" spans="1:15" x14ac:dyDescent="0.25">
      <c r="A278" s="3">
        <v>44225</v>
      </c>
      <c r="B278" s="1">
        <v>-1.6080000000000001E-2</v>
      </c>
      <c r="C278" s="1">
        <v>-1.4657E-2</v>
      </c>
      <c r="D278" s="1">
        <v>-1.0655E-2</v>
      </c>
      <c r="E278" s="1">
        <f>'Fama-French Data'!D278</f>
        <v>0</v>
      </c>
      <c r="F278">
        <f t="shared" si="26"/>
        <v>-1.6080000000000001E-2</v>
      </c>
      <c r="G278">
        <f t="shared" si="27"/>
        <v>-1.4657E-2</v>
      </c>
      <c r="H278">
        <f t="shared" si="28"/>
        <v>-1.0655E-2</v>
      </c>
      <c r="I278" s="1">
        <f>'Fama-French Data'!A278</f>
        <v>-6.9999999999999999E-4</v>
      </c>
      <c r="J278" s="1">
        <f>'Fama-French Data'!B278</f>
        <v>7.1400000000000005E-2</v>
      </c>
      <c r="K278" s="1">
        <f>'Fama-French Data'!C278</f>
        <v>3.2199999999999999E-2</v>
      </c>
      <c r="L278">
        <f>'Fama-French Data'!F278</f>
        <v>4.3099999999999999E-2</v>
      </c>
      <c r="M278">
        <f t="shared" si="29"/>
        <v>3879.1605669294868</v>
      </c>
      <c r="N278">
        <f t="shared" si="30"/>
        <v>6389.7055216261533</v>
      </c>
      <c r="O278">
        <f t="shared" si="31"/>
        <v>5648.8402959868272</v>
      </c>
    </row>
    <row r="279" spans="1:15" x14ac:dyDescent="0.25">
      <c r="A279" s="3">
        <v>44253</v>
      </c>
      <c r="B279" s="1">
        <v>3.1127999999999999E-2</v>
      </c>
      <c r="C279" s="1">
        <v>2.2443000000000001E-2</v>
      </c>
      <c r="D279" s="1">
        <v>2.7088999999999998E-2</v>
      </c>
      <c r="E279" s="1">
        <f>'Fama-French Data'!D279</f>
        <v>0</v>
      </c>
      <c r="F279">
        <f t="shared" si="26"/>
        <v>3.1127999999999999E-2</v>
      </c>
      <c r="G279">
        <f t="shared" si="27"/>
        <v>2.2443000000000001E-2</v>
      </c>
      <c r="H279">
        <f t="shared" si="28"/>
        <v>2.7088999999999998E-2</v>
      </c>
      <c r="I279" s="1">
        <f>'Fama-French Data'!A279</f>
        <v>2.81E-2</v>
      </c>
      <c r="J279" s="1">
        <f>'Fama-French Data'!B279</f>
        <v>2.0199999999999999E-2</v>
      </c>
      <c r="K279" s="1">
        <f>'Fama-French Data'!C279</f>
        <v>7.1999999999999995E-2</v>
      </c>
      <c r="L279">
        <f>'Fama-French Data'!F279</f>
        <v>-7.9000000000000001E-2</v>
      </c>
      <c r="M279">
        <f t="shared" si="29"/>
        <v>3999.9110770568682</v>
      </c>
      <c r="N279">
        <f t="shared" si="30"/>
        <v>6533.1096826480089</v>
      </c>
      <c r="O279">
        <f t="shared" si="31"/>
        <v>5801.8617307648137</v>
      </c>
    </row>
    <row r="280" spans="1:15" x14ac:dyDescent="0.25">
      <c r="A280" s="3">
        <v>44286</v>
      </c>
      <c r="B280" s="1">
        <v>7.1430999999999994E-2</v>
      </c>
      <c r="C280" s="1">
        <v>3.8279999999999998E-3</v>
      </c>
      <c r="D280" s="1">
        <v>4.3491000000000002E-2</v>
      </c>
      <c r="E280" s="1">
        <f>'Fama-French Data'!D280</f>
        <v>0</v>
      </c>
      <c r="F280">
        <f t="shared" si="26"/>
        <v>7.1430999999999994E-2</v>
      </c>
      <c r="G280">
        <f t="shared" si="27"/>
        <v>3.8279999999999998E-3</v>
      </c>
      <c r="H280">
        <f t="shared" si="28"/>
        <v>4.3491000000000002E-2</v>
      </c>
      <c r="I280" s="1">
        <f>'Fama-French Data'!A280</f>
        <v>3.1600000000000003E-2</v>
      </c>
      <c r="J280" s="1">
        <f>'Fama-French Data'!B280</f>
        <v>-2.3300000000000001E-2</v>
      </c>
      <c r="K280" s="1">
        <f>'Fama-French Data'!C280</f>
        <v>7.3499999999999996E-2</v>
      </c>
      <c r="L280">
        <f>'Fama-French Data'!F280</f>
        <v>-6.1100000000000002E-2</v>
      </c>
      <c r="M280">
        <f t="shared" si="29"/>
        <v>4285.6287252021175</v>
      </c>
      <c r="N280">
        <f t="shared" si="30"/>
        <v>6558.1184265131851</v>
      </c>
      <c r="O280">
        <f t="shared" si="31"/>
        <v>6054.190499297506</v>
      </c>
    </row>
    <row r="281" spans="1:15" x14ac:dyDescent="0.25">
      <c r="A281" s="3">
        <v>44316</v>
      </c>
      <c r="B281" s="1">
        <v>2.8975000000000001E-2</v>
      </c>
      <c r="C281" s="1">
        <v>7.5514999999999999E-2</v>
      </c>
      <c r="D281" s="1">
        <v>5.3274000000000002E-2</v>
      </c>
      <c r="E281" s="1">
        <f>'Fama-French Data'!D281</f>
        <v>0</v>
      </c>
      <c r="F281">
        <f t="shared" si="26"/>
        <v>2.8975000000000001E-2</v>
      </c>
      <c r="G281">
        <f t="shared" si="27"/>
        <v>7.5514999999999999E-2</v>
      </c>
      <c r="H281">
        <f t="shared" si="28"/>
        <v>5.3274000000000002E-2</v>
      </c>
      <c r="I281" s="1">
        <f>'Fama-French Data'!A281</f>
        <v>4.9500000000000002E-2</v>
      </c>
      <c r="J281" s="1">
        <f>'Fama-French Data'!B281</f>
        <v>-3.1899999999999998E-2</v>
      </c>
      <c r="K281" s="1">
        <f>'Fama-French Data'!C281</f>
        <v>-1.0200000000000001E-2</v>
      </c>
      <c r="L281">
        <f>'Fama-French Data'!F281</f>
        <v>1.23E-2</v>
      </c>
      <c r="M281">
        <f t="shared" si="29"/>
        <v>4409.8048175148488</v>
      </c>
      <c r="N281">
        <f t="shared" si="30"/>
        <v>7053.3547394913285</v>
      </c>
      <c r="O281">
        <f t="shared" si="31"/>
        <v>6376.7214439570816</v>
      </c>
    </row>
    <row r="282" spans="1:15" x14ac:dyDescent="0.25">
      <c r="A282" s="3">
        <v>44344</v>
      </c>
      <c r="B282" s="1">
        <v>2.8846E-2</v>
      </c>
      <c r="C282" s="1">
        <v>-2.1277000000000001E-2</v>
      </c>
      <c r="D282" s="1">
        <v>6.6670000000000002E-3</v>
      </c>
      <c r="E282" s="1">
        <f>'Fama-French Data'!D282</f>
        <v>0</v>
      </c>
      <c r="F282">
        <f t="shared" si="26"/>
        <v>2.8846E-2</v>
      </c>
      <c r="G282">
        <f t="shared" si="27"/>
        <v>-2.1277000000000001E-2</v>
      </c>
      <c r="H282">
        <f t="shared" si="28"/>
        <v>6.6670000000000002E-3</v>
      </c>
      <c r="I282" s="1">
        <f>'Fama-French Data'!A282</f>
        <v>3.0000000000000001E-3</v>
      </c>
      <c r="J282" s="1">
        <f>'Fama-French Data'!B282</f>
        <v>-2E-3</v>
      </c>
      <c r="K282" s="1">
        <f>'Fama-French Data'!C282</f>
        <v>7.0400000000000004E-2</v>
      </c>
      <c r="L282">
        <f>'Fama-French Data'!F282</f>
        <v>5.5999999999999999E-3</v>
      </c>
      <c r="M282">
        <f t="shared" si="29"/>
        <v>4537.0100472808817</v>
      </c>
      <c r="N282">
        <f t="shared" si="30"/>
        <v>6903.2805106991718</v>
      </c>
      <c r="O282">
        <f t="shared" si="31"/>
        <v>6419.2350458239434</v>
      </c>
    </row>
    <row r="283" spans="1:15" x14ac:dyDescent="0.25">
      <c r="A283" s="3">
        <v>44377</v>
      </c>
      <c r="B283" s="1">
        <v>-8.7989999999999995E-3</v>
      </c>
      <c r="C283" s="1">
        <v>5.4830999999999998E-2</v>
      </c>
      <c r="D283" s="1">
        <v>2.2813E-2</v>
      </c>
      <c r="E283" s="1">
        <f>'Fama-French Data'!D283</f>
        <v>0</v>
      </c>
      <c r="F283">
        <f t="shared" si="26"/>
        <v>-8.7989999999999995E-3</v>
      </c>
      <c r="G283">
        <f t="shared" si="27"/>
        <v>5.4830999999999998E-2</v>
      </c>
      <c r="H283">
        <f t="shared" si="28"/>
        <v>2.2813E-2</v>
      </c>
      <c r="I283" s="1">
        <f>'Fama-French Data'!A283</f>
        <v>2.7400000000000001E-2</v>
      </c>
      <c r="J283" s="1">
        <f>'Fama-French Data'!B283</f>
        <v>1.7000000000000001E-2</v>
      </c>
      <c r="K283" s="1">
        <f>'Fama-French Data'!C283</f>
        <v>-7.8600000000000003E-2</v>
      </c>
      <c r="L283">
        <f>'Fama-French Data'!F283</f>
        <v>2.07E-2</v>
      </c>
      <c r="M283">
        <f t="shared" si="29"/>
        <v>4497.0888958748574</v>
      </c>
      <c r="N283">
        <f t="shared" si="30"/>
        <v>7281.7942843813189</v>
      </c>
      <c r="O283">
        <f t="shared" si="31"/>
        <v>6565.6770549243247</v>
      </c>
    </row>
    <row r="284" spans="1:15" x14ac:dyDescent="0.25">
      <c r="A284" s="3">
        <v>44407</v>
      </c>
      <c r="B284" s="1">
        <v>8.7899999999999992E-3</v>
      </c>
      <c r="C284" s="1">
        <v>2.7479E-2</v>
      </c>
      <c r="D284" s="1">
        <v>2.3140999999999998E-2</v>
      </c>
      <c r="E284" s="1">
        <f>'Fama-French Data'!D284</f>
        <v>0</v>
      </c>
      <c r="F284">
        <f t="shared" si="26"/>
        <v>8.7899999999999992E-3</v>
      </c>
      <c r="G284">
        <f t="shared" si="27"/>
        <v>2.7479E-2</v>
      </c>
      <c r="H284">
        <f t="shared" si="28"/>
        <v>2.3140999999999998E-2</v>
      </c>
      <c r="I284" s="1">
        <f>'Fama-French Data'!A284</f>
        <v>1.34E-2</v>
      </c>
      <c r="J284" s="1">
        <f>'Fama-French Data'!B284</f>
        <v>-3.9300000000000002E-2</v>
      </c>
      <c r="K284" s="1">
        <f>'Fama-French Data'!C284</f>
        <v>-1.7899999999999999E-2</v>
      </c>
      <c r="L284">
        <f>'Fama-French Data'!F284</f>
        <v>-2.18E-2</v>
      </c>
      <c r="M284">
        <f t="shared" si="29"/>
        <v>4536.6183072695976</v>
      </c>
      <c r="N284">
        <f t="shared" si="30"/>
        <v>7481.8907095218337</v>
      </c>
      <c r="O284">
        <f t="shared" si="31"/>
        <v>6717.613387652329</v>
      </c>
    </row>
    <row r="285" spans="1:15" x14ac:dyDescent="0.25">
      <c r="A285" s="3">
        <v>44439</v>
      </c>
      <c r="B285" s="1">
        <v>2.3458E-2</v>
      </c>
      <c r="C285" s="1">
        <v>4.0784000000000001E-2</v>
      </c>
      <c r="D285" s="1">
        <v>2.9789E-2</v>
      </c>
      <c r="E285" s="1">
        <f>'Fama-French Data'!D285</f>
        <v>0</v>
      </c>
      <c r="F285">
        <f t="shared" si="26"/>
        <v>2.3458E-2</v>
      </c>
      <c r="G285">
        <f t="shared" si="27"/>
        <v>4.0784000000000001E-2</v>
      </c>
      <c r="H285">
        <f t="shared" si="28"/>
        <v>2.9789E-2</v>
      </c>
      <c r="I285" s="1">
        <f>'Fama-French Data'!A285</f>
        <v>2.9399999999999999E-2</v>
      </c>
      <c r="J285" s="1">
        <f>'Fama-French Data'!B285</f>
        <v>-3.2000000000000002E-3</v>
      </c>
      <c r="K285" s="1">
        <f>'Fama-French Data'!C285</f>
        <v>-2.3E-3</v>
      </c>
      <c r="L285">
        <f>'Fama-French Data'!F285</f>
        <v>2.63E-2</v>
      </c>
      <c r="M285">
        <f t="shared" si="29"/>
        <v>4643.0382995215277</v>
      </c>
      <c r="N285">
        <f t="shared" si="30"/>
        <v>7787.032140218972</v>
      </c>
      <c r="O285">
        <f t="shared" si="31"/>
        <v>6917.7243728571048</v>
      </c>
    </row>
    <row r="286" spans="1:15" x14ac:dyDescent="0.25">
      <c r="A286" s="3">
        <v>44469</v>
      </c>
      <c r="B286" s="1">
        <v>-3.6088000000000002E-2</v>
      </c>
      <c r="C286" s="1">
        <v>-5.8243999999999997E-2</v>
      </c>
      <c r="D286" s="1">
        <v>-4.6993E-2</v>
      </c>
      <c r="E286" s="1">
        <f>'Fama-French Data'!D286</f>
        <v>0</v>
      </c>
      <c r="F286">
        <f t="shared" si="26"/>
        <v>-3.6088000000000002E-2</v>
      </c>
      <c r="G286">
        <f t="shared" si="27"/>
        <v>-5.8243999999999997E-2</v>
      </c>
      <c r="H286">
        <f t="shared" si="28"/>
        <v>-4.6993E-2</v>
      </c>
      <c r="I286" s="1">
        <f>'Fama-French Data'!A286</f>
        <v>-4.3999999999999997E-2</v>
      </c>
      <c r="J286" s="1">
        <f>'Fama-French Data'!B286</f>
        <v>6.6E-3</v>
      </c>
      <c r="K286" s="1">
        <f>'Fama-French Data'!C286</f>
        <v>5.1200000000000002E-2</v>
      </c>
      <c r="L286">
        <f>'Fama-French Data'!F286</f>
        <v>1.3899999999999999E-2</v>
      </c>
      <c r="M286">
        <f t="shared" si="29"/>
        <v>4475.4803333683949</v>
      </c>
      <c r="N286">
        <f t="shared" si="30"/>
        <v>7333.4842402440581</v>
      </c>
      <c r="O286">
        <f t="shared" si="31"/>
        <v>6592.6397514034315</v>
      </c>
    </row>
    <row r="287" spans="1:15" x14ac:dyDescent="0.25">
      <c r="A287" s="3">
        <v>44498</v>
      </c>
      <c r="B287" s="1">
        <v>2.9412000000000001E-2</v>
      </c>
      <c r="C287" s="1">
        <v>7.0941000000000004E-2</v>
      </c>
      <c r="D287" s="1">
        <v>6.9597000000000006E-2</v>
      </c>
      <c r="E287" s="1">
        <f>'Fama-French Data'!D287</f>
        <v>0</v>
      </c>
      <c r="F287">
        <f t="shared" si="26"/>
        <v>2.9412000000000001E-2</v>
      </c>
      <c r="G287">
        <f t="shared" si="27"/>
        <v>7.0941000000000004E-2</v>
      </c>
      <c r="H287">
        <f t="shared" si="28"/>
        <v>6.9597000000000006E-2</v>
      </c>
      <c r="I287" s="1">
        <f>'Fama-French Data'!A287</f>
        <v>6.6299999999999998E-2</v>
      </c>
      <c r="J287" s="1">
        <f>'Fama-French Data'!B287</f>
        <v>-2.2700000000000001E-2</v>
      </c>
      <c r="K287" s="1">
        <f>'Fama-French Data'!C287</f>
        <v>-5.3E-3</v>
      </c>
      <c r="L287">
        <f>'Fama-French Data'!F287</f>
        <v>3.32E-2</v>
      </c>
      <c r="M287">
        <f t="shared" si="29"/>
        <v>4607.1131609334261</v>
      </c>
      <c r="N287">
        <f t="shared" si="30"/>
        <v>7853.7289457312108</v>
      </c>
      <c r="O287">
        <f t="shared" si="31"/>
        <v>7051.4677001818554</v>
      </c>
    </row>
    <row r="288" spans="1:15" x14ac:dyDescent="0.25">
      <c r="A288" s="3">
        <v>44530</v>
      </c>
      <c r="B288" s="1">
        <v>-3.7208999999999999E-2</v>
      </c>
      <c r="C288" s="1">
        <v>-1.2314E-2</v>
      </c>
      <c r="D288" s="1">
        <v>-7.2649999999999998E-3</v>
      </c>
      <c r="E288" s="1">
        <f>'Fama-French Data'!D288</f>
        <v>0</v>
      </c>
      <c r="F288">
        <f t="shared" si="26"/>
        <v>-3.7208999999999999E-2</v>
      </c>
      <c r="G288">
        <f t="shared" si="27"/>
        <v>-1.2314E-2</v>
      </c>
      <c r="H288">
        <f t="shared" si="28"/>
        <v>-7.2649999999999998E-3</v>
      </c>
      <c r="I288" s="1">
        <f>'Fama-French Data'!A288</f>
        <v>-1.5800000000000002E-2</v>
      </c>
      <c r="J288" s="1">
        <f>'Fama-French Data'!B288</f>
        <v>-1.3100000000000001E-2</v>
      </c>
      <c r="K288" s="1">
        <f>'Fama-French Data'!C288</f>
        <v>-3.7000000000000002E-3</v>
      </c>
      <c r="L288">
        <f>'Fama-French Data'!F288</f>
        <v>9.5999999999999992E-3</v>
      </c>
      <c r="M288">
        <f t="shared" si="29"/>
        <v>4435.6870873282542</v>
      </c>
      <c r="N288">
        <f t="shared" si="30"/>
        <v>7757.0181274934766</v>
      </c>
      <c r="O288">
        <f t="shared" si="31"/>
        <v>7000.2387873400348</v>
      </c>
    </row>
    <row r="289" spans="1:15" x14ac:dyDescent="0.25">
      <c r="A289" s="3">
        <v>44561</v>
      </c>
      <c r="B289" s="1">
        <v>7.9925999999999997E-2</v>
      </c>
      <c r="C289" s="1">
        <v>1.051E-2</v>
      </c>
      <c r="D289" s="1">
        <v>4.4867999999999998E-2</v>
      </c>
      <c r="E289" s="1">
        <f>'Fama-French Data'!D289</f>
        <v>1E-4</v>
      </c>
      <c r="F289">
        <f t="shared" si="26"/>
        <v>7.9825999999999994E-2</v>
      </c>
      <c r="G289">
        <f t="shared" si="27"/>
        <v>1.0410000000000001E-2</v>
      </c>
      <c r="H289">
        <f t="shared" si="28"/>
        <v>4.4767999999999995E-2</v>
      </c>
      <c r="I289" s="1">
        <f>'Fama-French Data'!A289</f>
        <v>3.2300000000000002E-2</v>
      </c>
      <c r="J289" s="1">
        <f>'Fama-French Data'!B289</f>
        <v>-1.6299999999999999E-2</v>
      </c>
      <c r="K289" s="1">
        <f>'Fama-French Data'!C289</f>
        <v>3.2599999999999997E-2</v>
      </c>
      <c r="L289">
        <f>'Fama-French Data'!F289</f>
        <v>-2.3900000000000001E-2</v>
      </c>
      <c r="M289">
        <f t="shared" si="29"/>
        <v>4790.2138134700517</v>
      </c>
      <c r="N289">
        <f t="shared" si="30"/>
        <v>7838.5443880134335</v>
      </c>
      <c r="O289">
        <f t="shared" si="31"/>
        <v>7314.3255012504069</v>
      </c>
    </row>
    <row r="290" spans="1:15" x14ac:dyDescent="0.25">
      <c r="A290" s="3">
        <v>44592</v>
      </c>
      <c r="B290" s="1">
        <v>3.5409999999999999E-3</v>
      </c>
      <c r="C290" s="1">
        <v>-9.5411999999999997E-2</v>
      </c>
      <c r="D290" s="1">
        <v>-5.1832000000000003E-2</v>
      </c>
      <c r="E290" s="1">
        <f>'Fama-French Data'!D290</f>
        <v>0</v>
      </c>
      <c r="F290">
        <f t="shared" si="26"/>
        <v>3.5409999999999999E-3</v>
      </c>
      <c r="G290">
        <f t="shared" si="27"/>
        <v>-9.5411999999999997E-2</v>
      </c>
      <c r="H290">
        <f t="shared" si="28"/>
        <v>-5.1832000000000003E-2</v>
      </c>
      <c r="I290" s="1">
        <f>'Fama-French Data'!A290</f>
        <v>-6.1600000000000002E-2</v>
      </c>
      <c r="J290" s="1">
        <f>'Fama-French Data'!B290</f>
        <v>-5.9299999999999999E-2</v>
      </c>
      <c r="K290" s="1">
        <f>'Fama-French Data'!C290</f>
        <v>0.12859999999999999</v>
      </c>
      <c r="L290">
        <f>'Fama-French Data'!F290</f>
        <v>-2.4199999999999999E-2</v>
      </c>
      <c r="M290">
        <f t="shared" si="29"/>
        <v>4807.1759605835496</v>
      </c>
      <c r="N290">
        <f t="shared" si="30"/>
        <v>7090.6531908642955</v>
      </c>
      <c r="O290">
        <f t="shared" si="31"/>
        <v>6935.2093818695957</v>
      </c>
    </row>
    <row r="291" spans="1:15" x14ac:dyDescent="0.25">
      <c r="A291" s="3">
        <v>44620</v>
      </c>
      <c r="B291" s="1">
        <v>-1.4109999999999999E-3</v>
      </c>
      <c r="C291" s="1">
        <v>-5.6432999999999997E-2</v>
      </c>
      <c r="D291" s="1">
        <v>-3.0072999999999999E-2</v>
      </c>
      <c r="E291" s="1">
        <f>'Fama-French Data'!D291</f>
        <v>0</v>
      </c>
      <c r="F291">
        <f t="shared" si="26"/>
        <v>-1.4109999999999999E-3</v>
      </c>
      <c r="G291">
        <f t="shared" si="27"/>
        <v>-5.6432999999999997E-2</v>
      </c>
      <c r="H291">
        <f t="shared" si="28"/>
        <v>-3.0072999999999999E-2</v>
      </c>
      <c r="I291" s="1">
        <f>'Fama-French Data'!A291</f>
        <v>-2.2800000000000001E-2</v>
      </c>
      <c r="J291" s="1">
        <f>'Fama-French Data'!B291</f>
        <v>2.1600000000000001E-2</v>
      </c>
      <c r="K291" s="1">
        <f>'Fama-French Data'!C291</f>
        <v>3.0599999999999999E-2</v>
      </c>
      <c r="L291">
        <f>'Fama-French Data'!F291</f>
        <v>1.66E-2</v>
      </c>
      <c r="M291">
        <f t="shared" si="29"/>
        <v>4800.3930353031656</v>
      </c>
      <c r="N291">
        <f t="shared" si="30"/>
        <v>6690.506359344251</v>
      </c>
      <c r="O291">
        <f t="shared" si="31"/>
        <v>6726.6468301286313</v>
      </c>
    </row>
    <row r="292" spans="1:15" x14ac:dyDescent="0.25">
      <c r="A292" s="3">
        <v>44651</v>
      </c>
      <c r="B292" s="1">
        <v>1.4251E-2</v>
      </c>
      <c r="C292" s="1">
        <v>4.4499999999999998E-2</v>
      </c>
      <c r="D292" s="1">
        <v>3.6391E-2</v>
      </c>
      <c r="E292" s="1">
        <f>'Fama-French Data'!D292</f>
        <v>0</v>
      </c>
      <c r="F292">
        <f t="shared" si="26"/>
        <v>1.4251E-2</v>
      </c>
      <c r="G292">
        <f t="shared" si="27"/>
        <v>4.4499999999999998E-2</v>
      </c>
      <c r="H292">
        <f t="shared" si="28"/>
        <v>3.6391E-2</v>
      </c>
      <c r="I292" s="1">
        <f>'Fama-French Data'!A292</f>
        <v>3.0800000000000001E-2</v>
      </c>
      <c r="J292" s="1">
        <f>'Fama-French Data'!B292</f>
        <v>-1.55E-2</v>
      </c>
      <c r="K292" s="1">
        <f>'Fama-French Data'!C292</f>
        <v>-1.9E-2</v>
      </c>
      <c r="L292">
        <f>'Fama-French Data'!F292</f>
        <v>2.9399999999999999E-2</v>
      </c>
      <c r="M292">
        <f t="shared" si="29"/>
        <v>4868.8034364492714</v>
      </c>
      <c r="N292">
        <f t="shared" si="30"/>
        <v>6988.2338923350699</v>
      </c>
      <c r="O292">
        <f t="shared" si="31"/>
        <v>6971.4362349238427</v>
      </c>
    </row>
    <row r="293" spans="1:15" x14ac:dyDescent="0.25">
      <c r="A293" s="3">
        <v>44680</v>
      </c>
      <c r="B293" s="1">
        <v>-3.8515000000000001E-2</v>
      </c>
      <c r="C293" s="1">
        <v>-0.127471</v>
      </c>
      <c r="D293" s="1">
        <v>-8.7481000000000003E-2</v>
      </c>
      <c r="E293" s="1">
        <f>'Fama-French Data'!D293</f>
        <v>0</v>
      </c>
      <c r="F293">
        <f t="shared" si="26"/>
        <v>-3.8515000000000001E-2</v>
      </c>
      <c r="G293">
        <f t="shared" si="27"/>
        <v>-0.127471</v>
      </c>
      <c r="H293">
        <f t="shared" si="28"/>
        <v>-8.7481000000000003E-2</v>
      </c>
      <c r="I293" s="1">
        <f>'Fama-French Data'!A293</f>
        <v>-9.4100000000000003E-2</v>
      </c>
      <c r="J293" s="1">
        <f>'Fama-French Data'!B293</f>
        <v>-1.35E-2</v>
      </c>
      <c r="K293" s="1">
        <f>'Fama-French Data'!C293</f>
        <v>6.1800000000000001E-2</v>
      </c>
      <c r="L293">
        <f>'Fama-French Data'!F293</f>
        <v>0.05</v>
      </c>
      <c r="M293">
        <f t="shared" si="29"/>
        <v>4681.281472094428</v>
      </c>
      <c r="N293">
        <f t="shared" si="30"/>
        <v>6097.4367298452262</v>
      </c>
      <c r="O293">
        <f t="shared" si="31"/>
        <v>6361.5680216564697</v>
      </c>
    </row>
    <row r="294" spans="1:15" x14ac:dyDescent="0.25">
      <c r="A294" s="3">
        <v>44712</v>
      </c>
      <c r="B294" s="1">
        <v>4.3700000000000003E-2</v>
      </c>
      <c r="C294" s="1">
        <v>-3.3593999999999999E-2</v>
      </c>
      <c r="D294" s="1">
        <v>1.2290000000000001E-3</v>
      </c>
      <c r="E294" s="1">
        <f>'Fama-French Data'!D294</f>
        <v>2.9999999999999997E-4</v>
      </c>
      <c r="F294">
        <f t="shared" si="26"/>
        <v>4.3400000000000001E-2</v>
      </c>
      <c r="G294">
        <f t="shared" si="27"/>
        <v>-3.3894000000000001E-2</v>
      </c>
      <c r="H294">
        <f t="shared" si="28"/>
        <v>9.2900000000000014E-4</v>
      </c>
      <c r="I294" s="1">
        <f>'Fama-French Data'!A294</f>
        <v>-3.3999999999999998E-3</v>
      </c>
      <c r="J294" s="1">
        <f>'Fama-French Data'!B294</f>
        <v>-1.84E-2</v>
      </c>
      <c r="K294" s="1">
        <f>'Fama-French Data'!C294</f>
        <v>8.4400000000000003E-2</v>
      </c>
      <c r="L294">
        <f>'Fama-French Data'!F294</f>
        <v>2.5399999999999999E-2</v>
      </c>
      <c r="M294">
        <f t="shared" si="29"/>
        <v>4885.8534724249548</v>
      </c>
      <c r="N294">
        <f t="shared" si="30"/>
        <v>5892.5994403428058</v>
      </c>
      <c r="O294">
        <f t="shared" si="31"/>
        <v>6369.3863887550851</v>
      </c>
    </row>
    <row r="295" spans="1:15" x14ac:dyDescent="0.25">
      <c r="A295" s="3">
        <v>44742</v>
      </c>
      <c r="B295" s="1">
        <v>-8.1906000000000007E-2</v>
      </c>
      <c r="C295" s="1">
        <v>-9.0136999999999995E-2</v>
      </c>
      <c r="D295" s="1">
        <v>-8.2230999999999999E-2</v>
      </c>
      <c r="E295" s="1">
        <f>'Fama-French Data'!D295</f>
        <v>5.9999999999999995E-4</v>
      </c>
      <c r="F295">
        <f t="shared" si="26"/>
        <v>-8.250600000000001E-2</v>
      </c>
      <c r="G295">
        <f t="shared" si="27"/>
        <v>-9.0736999999999998E-2</v>
      </c>
      <c r="H295">
        <f t="shared" si="28"/>
        <v>-8.2831000000000002E-2</v>
      </c>
      <c r="I295" s="1">
        <f>'Fama-French Data'!A295</f>
        <v>-8.4000000000000005E-2</v>
      </c>
      <c r="J295" s="1">
        <f>'Fama-French Data'!B295</f>
        <v>2.07E-2</v>
      </c>
      <c r="K295" s="1">
        <f>'Fama-French Data'!C295</f>
        <v>-0.06</v>
      </c>
      <c r="L295">
        <f>'Fama-French Data'!F295</f>
        <v>1.09E-2</v>
      </c>
      <c r="M295">
        <f t="shared" si="29"/>
        <v>4485.6727579125163</v>
      </c>
      <c r="N295">
        <f t="shared" si="30"/>
        <v>5361.4582045886264</v>
      </c>
      <c r="O295">
        <f t="shared" si="31"/>
        <v>5845.6253766213658</v>
      </c>
    </row>
    <row r="296" spans="1:15" x14ac:dyDescent="0.25">
      <c r="A296" s="3">
        <v>44771</v>
      </c>
      <c r="B296" s="1">
        <v>2.5994E-2</v>
      </c>
      <c r="C296" s="1">
        <v>0.120391</v>
      </c>
      <c r="D296" s="1">
        <v>9.1762999999999997E-2</v>
      </c>
      <c r="E296" s="1">
        <f>'Fama-French Data'!D296</f>
        <v>8.0000000000000004E-4</v>
      </c>
      <c r="F296">
        <f t="shared" si="26"/>
        <v>2.5194000000000001E-2</v>
      </c>
      <c r="G296">
        <f t="shared" si="27"/>
        <v>0.119591</v>
      </c>
      <c r="H296">
        <f t="shared" si="28"/>
        <v>9.0963000000000002E-2</v>
      </c>
      <c r="I296" s="1">
        <f>'Fama-French Data'!A296</f>
        <v>9.5699999999999993E-2</v>
      </c>
      <c r="J296" s="1">
        <f>'Fama-French Data'!B296</f>
        <v>2.8400000000000002E-2</v>
      </c>
      <c r="K296" s="1">
        <f>'Fama-French Data'!C296</f>
        <v>-4.1500000000000002E-2</v>
      </c>
      <c r="L296">
        <f>'Fama-French Data'!F296</f>
        <v>-4.36E-2</v>
      </c>
      <c r="M296">
        <f t="shared" si="29"/>
        <v>4602.2733355816945</v>
      </c>
      <c r="N296">
        <f t="shared" si="30"/>
        <v>6006.929519297255</v>
      </c>
      <c r="O296">
        <f t="shared" si="31"/>
        <v>6382.0374980562729</v>
      </c>
    </row>
    <row r="297" spans="1:15" x14ac:dyDescent="0.25">
      <c r="A297" s="3">
        <v>44804</v>
      </c>
      <c r="B297" s="1">
        <v>-1.4158E-2</v>
      </c>
      <c r="C297" s="1">
        <v>-6.3045000000000004E-2</v>
      </c>
      <c r="D297" s="1">
        <v>-4.1180000000000001E-2</v>
      </c>
      <c r="E297" s="1">
        <f>'Fama-French Data'!D297</f>
        <v>1.9E-3</v>
      </c>
      <c r="F297">
        <f t="shared" si="26"/>
        <v>-1.6057999999999999E-2</v>
      </c>
      <c r="G297">
        <f t="shared" si="27"/>
        <v>-6.4945000000000003E-2</v>
      </c>
      <c r="H297">
        <f t="shared" si="28"/>
        <v>-4.308E-2</v>
      </c>
      <c r="I297" s="1">
        <f>'Fama-French Data'!A297</f>
        <v>-3.7699999999999997E-2</v>
      </c>
      <c r="J297" s="1">
        <f>'Fama-French Data'!B297</f>
        <v>1.41E-2</v>
      </c>
      <c r="K297" s="1">
        <f>'Fama-French Data'!C297</f>
        <v>1.8E-3</v>
      </c>
      <c r="L297">
        <f>'Fama-French Data'!F297</f>
        <v>1.8499999999999999E-2</v>
      </c>
      <c r="M297">
        <f t="shared" si="29"/>
        <v>4537.1143496965287</v>
      </c>
      <c r="N297">
        <f t="shared" si="30"/>
        <v>5628.2226477531594</v>
      </c>
      <c r="O297">
        <f t="shared" si="31"/>
        <v>6119.2251938863155</v>
      </c>
    </row>
    <row r="298" spans="1:15" x14ac:dyDescent="0.25">
      <c r="A298" s="3">
        <v>44834</v>
      </c>
      <c r="B298" s="1">
        <v>-7.0920999999999998E-2</v>
      </c>
      <c r="C298" s="1">
        <v>-9.6488000000000004E-2</v>
      </c>
      <c r="D298" s="1">
        <v>-9.2308000000000001E-2</v>
      </c>
      <c r="E298" s="1">
        <f>'Fama-French Data'!D298</f>
        <v>1.9E-3</v>
      </c>
      <c r="F298">
        <f t="shared" si="26"/>
        <v>-7.2820999999999997E-2</v>
      </c>
      <c r="G298">
        <f t="shared" si="27"/>
        <v>-9.8388000000000003E-2</v>
      </c>
      <c r="H298">
        <f t="shared" si="28"/>
        <v>-9.4208E-2</v>
      </c>
      <c r="I298" s="1">
        <f>'Fama-French Data'!A298</f>
        <v>-9.3399999999999997E-2</v>
      </c>
      <c r="J298" s="1">
        <f>'Fama-French Data'!B298</f>
        <v>-7.6E-3</v>
      </c>
      <c r="K298" s="1">
        <f>'Fama-French Data'!C298</f>
        <v>2.9999999999999997E-4</v>
      </c>
      <c r="L298">
        <f>'Fama-French Data'!F298</f>
        <v>3.6700000000000003E-2</v>
      </c>
      <c r="M298">
        <f t="shared" si="29"/>
        <v>4215.3376629017012</v>
      </c>
      <c r="N298">
        <f t="shared" si="30"/>
        <v>5085.1667009167522</v>
      </c>
      <c r="O298">
        <f t="shared" si="31"/>
        <v>5554.3717546890575</v>
      </c>
    </row>
    <row r="299" spans="1:15" x14ac:dyDescent="0.25">
      <c r="A299" s="3">
        <v>44865</v>
      </c>
      <c r="B299" s="1">
        <v>0.14578199999999999</v>
      </c>
      <c r="C299" s="1">
        <v>4.4496000000000001E-2</v>
      </c>
      <c r="D299" s="1">
        <v>8.1176999999999999E-2</v>
      </c>
      <c r="E299" s="1">
        <f>'Fama-French Data'!D299</f>
        <v>2.3E-3</v>
      </c>
      <c r="F299">
        <f t="shared" si="26"/>
        <v>0.143482</v>
      </c>
      <c r="G299">
        <f t="shared" si="27"/>
        <v>4.2195999999999997E-2</v>
      </c>
      <c r="H299">
        <f t="shared" si="28"/>
        <v>7.8877000000000003E-2</v>
      </c>
      <c r="I299" s="1">
        <f>'Fama-French Data'!A299</f>
        <v>7.85E-2</v>
      </c>
      <c r="J299" s="1">
        <f>'Fama-French Data'!B299</f>
        <v>1E-4</v>
      </c>
      <c r="K299" s="1">
        <f>'Fama-French Data'!C299</f>
        <v>7.9699999999999993E-2</v>
      </c>
      <c r="L299">
        <f>'Fama-French Data'!F299</f>
        <v>3.9E-2</v>
      </c>
      <c r="M299">
        <f t="shared" si="29"/>
        <v>4829.8580180748377</v>
      </c>
      <c r="N299">
        <f t="shared" si="30"/>
        <v>5311.4362784407449</v>
      </c>
      <c r="O299">
        <f t="shared" si="31"/>
        <v>6005.2589906194517</v>
      </c>
    </row>
    <row r="300" spans="1:15" x14ac:dyDescent="0.25">
      <c r="A300" s="3">
        <v>44895</v>
      </c>
      <c r="B300" s="1">
        <v>6.1471999999999999E-2</v>
      </c>
      <c r="C300" s="1">
        <v>4.7534E-2</v>
      </c>
      <c r="D300" s="1">
        <v>5.5896000000000001E-2</v>
      </c>
      <c r="E300" s="1">
        <f>'Fama-French Data'!D300</f>
        <v>2.8999999999999998E-3</v>
      </c>
      <c r="F300">
        <f t="shared" si="26"/>
        <v>5.8571999999999999E-2</v>
      </c>
      <c r="G300">
        <f t="shared" si="27"/>
        <v>4.4634E-2</v>
      </c>
      <c r="H300">
        <f t="shared" si="28"/>
        <v>5.2996000000000001E-2</v>
      </c>
      <c r="I300" s="1">
        <f>'Fama-French Data'!A300</f>
        <v>4.65E-2</v>
      </c>
      <c r="J300" s="1">
        <f>'Fama-French Data'!B300</f>
        <v>-3.5700000000000003E-2</v>
      </c>
      <c r="K300" s="1">
        <f>'Fama-French Data'!C300</f>
        <v>1.4800000000000001E-2</v>
      </c>
      <c r="L300">
        <f>'Fama-French Data'!F300</f>
        <v>-1.7000000000000001E-2</v>
      </c>
      <c r="M300">
        <f t="shared" si="29"/>
        <v>5126.7590501619343</v>
      </c>
      <c r="N300">
        <f t="shared" si="30"/>
        <v>5563.9100905001469</v>
      </c>
      <c r="O300">
        <f t="shared" si="31"/>
        <v>6340.9289471591164</v>
      </c>
    </row>
    <row r="301" spans="1:15" x14ac:dyDescent="0.25">
      <c r="A301" s="3">
        <v>44925</v>
      </c>
      <c r="B301" s="1">
        <v>-3.6817000000000003E-2</v>
      </c>
      <c r="C301" s="1">
        <v>-8.5033999999999998E-2</v>
      </c>
      <c r="D301" s="1">
        <v>-5.7569000000000002E-2</v>
      </c>
      <c r="E301" s="1">
        <f>'Fama-French Data'!D301</f>
        <v>3.3E-3</v>
      </c>
      <c r="F301">
        <f t="shared" si="26"/>
        <v>-4.0117E-2</v>
      </c>
      <c r="G301">
        <f t="shared" si="27"/>
        <v>-8.8333999999999996E-2</v>
      </c>
      <c r="H301">
        <f t="shared" si="28"/>
        <v>-6.0868999999999999E-2</v>
      </c>
      <c r="I301" s="1">
        <f>'Fama-French Data'!A301</f>
        <v>-6.3799999999999996E-2</v>
      </c>
      <c r="J301" s="1">
        <f>'Fama-French Data'!B301</f>
        <v>-7.6E-3</v>
      </c>
      <c r="K301" s="1">
        <f>'Fama-French Data'!C301</f>
        <v>1.34E-2</v>
      </c>
      <c r="L301">
        <f>'Fama-French Data'!F301</f>
        <v>4.9099999999999998E-2</v>
      </c>
      <c r="M301">
        <f t="shared" si="29"/>
        <v>4938.0071622121222</v>
      </c>
      <c r="N301">
        <f t="shared" si="30"/>
        <v>5090.7885598645571</v>
      </c>
      <c r="O301">
        <f t="shared" si="31"/>
        <v>5975.8880086001136</v>
      </c>
    </row>
    <row r="302" spans="1:15" x14ac:dyDescent="0.25">
      <c r="A302" s="3">
        <v>44957</v>
      </c>
      <c r="B302" s="1">
        <v>4.1267999999999999E-2</v>
      </c>
      <c r="C302" s="1">
        <v>9.7207000000000002E-2</v>
      </c>
      <c r="D302" s="1">
        <v>6.2756000000000006E-2</v>
      </c>
      <c r="E302" s="1">
        <f>'Fama-French Data'!D302</f>
        <v>3.5000000000000001E-3</v>
      </c>
      <c r="F302">
        <f t="shared" si="26"/>
        <v>3.7767999999999996E-2</v>
      </c>
      <c r="G302">
        <f t="shared" si="27"/>
        <v>9.3706999999999999E-2</v>
      </c>
      <c r="H302">
        <f t="shared" si="28"/>
        <v>5.9256000000000003E-2</v>
      </c>
      <c r="I302" s="1">
        <f>'Fama-French Data'!A302</f>
        <v>6.6100000000000006E-2</v>
      </c>
      <c r="J302" s="1">
        <f>'Fama-French Data'!B302</f>
        <v>5.0099999999999999E-2</v>
      </c>
      <c r="K302" s="1">
        <f>'Fama-French Data'!C302</f>
        <v>-3.9399999999999998E-2</v>
      </c>
      <c r="L302">
        <f>'Fama-French Data'!F302</f>
        <v>-0.16170000000000001</v>
      </c>
      <c r="M302">
        <f t="shared" si="29"/>
        <v>5141.7888417822924</v>
      </c>
      <c r="N302">
        <f t="shared" si="30"/>
        <v>5585.6488434033117</v>
      </c>
      <c r="O302">
        <f t="shared" si="31"/>
        <v>6350.9108364678223</v>
      </c>
    </row>
    <row r="303" spans="1:15" x14ac:dyDescent="0.25">
      <c r="A303" s="3">
        <v>44985</v>
      </c>
      <c r="B303" s="1">
        <v>-4.3171000000000001E-2</v>
      </c>
      <c r="C303" s="1">
        <v>-1.5663E-2</v>
      </c>
      <c r="D303" s="1">
        <v>-2.494E-2</v>
      </c>
      <c r="E303" s="1">
        <f>'Fama-French Data'!D303</f>
        <v>3.3999999999999998E-3</v>
      </c>
      <c r="F303">
        <f t="shared" si="26"/>
        <v>-4.6571000000000001E-2</v>
      </c>
      <c r="G303">
        <f t="shared" si="27"/>
        <v>-1.9063E-2</v>
      </c>
      <c r="H303">
        <f t="shared" si="28"/>
        <v>-2.8340000000000001E-2</v>
      </c>
      <c r="I303" s="1">
        <f>'Fama-French Data'!A303</f>
        <v>-2.5700000000000001E-2</v>
      </c>
      <c r="J303" s="1">
        <f>'Fama-French Data'!B303</f>
        <v>1.0500000000000001E-2</v>
      </c>
      <c r="K303" s="1">
        <f>'Fama-French Data'!C303</f>
        <v>-8.0000000000000002E-3</v>
      </c>
      <c r="L303">
        <f>'Fama-French Data'!F303</f>
        <v>5.4999999999999997E-3</v>
      </c>
      <c r="M303">
        <f t="shared" si="29"/>
        <v>4919.812675693709</v>
      </c>
      <c r="N303">
        <f t="shared" si="30"/>
        <v>5498.1608255690853</v>
      </c>
      <c r="O303">
        <f t="shared" si="31"/>
        <v>6192.5191202063152</v>
      </c>
    </row>
    <row r="304" spans="1:15" x14ac:dyDescent="0.25">
      <c r="A304" s="3">
        <v>45016</v>
      </c>
      <c r="B304" s="1">
        <v>-2.9166999999999998E-2</v>
      </c>
      <c r="C304" s="1">
        <v>9.0501999999999999E-2</v>
      </c>
      <c r="D304" s="1">
        <v>3.6283999999999997E-2</v>
      </c>
      <c r="E304" s="1">
        <f>'Fama-French Data'!D304</f>
        <v>3.5999999999999999E-3</v>
      </c>
      <c r="F304">
        <f t="shared" si="26"/>
        <v>-3.2766999999999998E-2</v>
      </c>
      <c r="G304">
        <f t="shared" si="27"/>
        <v>8.6901999999999993E-2</v>
      </c>
      <c r="H304">
        <f t="shared" si="28"/>
        <v>3.2683999999999998E-2</v>
      </c>
      <c r="I304" s="1">
        <f>'Fama-French Data'!A304</f>
        <v>2.4799999999999999E-2</v>
      </c>
      <c r="J304" s="1">
        <f>'Fama-French Data'!B304</f>
        <v>-5.4800000000000001E-2</v>
      </c>
      <c r="K304" s="1">
        <f>'Fama-French Data'!C304</f>
        <v>-9.0499999999999997E-2</v>
      </c>
      <c r="L304">
        <f>'Fama-French Data'!F304</f>
        <v>-2.35E-2</v>
      </c>
      <c r="M304">
        <f t="shared" si="29"/>
        <v>4776.3164993817509</v>
      </c>
      <c r="N304">
        <f t="shared" si="30"/>
        <v>5995.7553766047395</v>
      </c>
      <c r="O304">
        <f t="shared" si="31"/>
        <v>6417.208483963881</v>
      </c>
    </row>
    <row r="305" spans="1:15" x14ac:dyDescent="0.25">
      <c r="A305" s="3">
        <v>45044</v>
      </c>
      <c r="B305" s="1">
        <v>1.3793E-2</v>
      </c>
      <c r="C305" s="1">
        <v>2.7359999999999999E-2</v>
      </c>
      <c r="D305" s="1">
        <v>1.5021E-2</v>
      </c>
      <c r="E305" s="1">
        <f>'Fama-French Data'!D305</f>
        <v>3.5000000000000001E-3</v>
      </c>
      <c r="F305">
        <f t="shared" si="26"/>
        <v>1.0293E-2</v>
      </c>
      <c r="G305">
        <f t="shared" si="27"/>
        <v>2.3859999999999999E-2</v>
      </c>
      <c r="H305">
        <f t="shared" si="28"/>
        <v>1.1521E-2</v>
      </c>
      <c r="I305" s="1">
        <f>'Fama-French Data'!A305</f>
        <v>6.1999999999999998E-3</v>
      </c>
      <c r="J305" s="1">
        <f>'Fama-French Data'!B305</f>
        <v>-3.3700000000000001E-2</v>
      </c>
      <c r="K305" s="1">
        <f>'Fama-French Data'!C305</f>
        <v>-1.1999999999999999E-3</v>
      </c>
      <c r="L305">
        <f>'Fama-French Data'!F305</f>
        <v>1.7600000000000001E-2</v>
      </c>
      <c r="M305">
        <f t="shared" si="29"/>
        <v>4842.1962328577229</v>
      </c>
      <c r="N305">
        <f t="shared" si="30"/>
        <v>6159.799243708645</v>
      </c>
      <c r="O305">
        <f t="shared" si="31"/>
        <v>6513.6013726015026</v>
      </c>
    </row>
    <row r="306" spans="1:15" x14ac:dyDescent="0.25">
      <c r="A306" s="3">
        <v>45077</v>
      </c>
      <c r="B306" s="1">
        <v>-3.2502000000000003E-2</v>
      </c>
      <c r="C306" s="1">
        <v>7.2347999999999996E-2</v>
      </c>
      <c r="D306" s="1">
        <v>3.6210000000000001E-3</v>
      </c>
      <c r="E306" s="1">
        <f>'Fama-French Data'!D306</f>
        <v>3.5999999999999999E-3</v>
      </c>
      <c r="F306">
        <f t="shared" si="26"/>
        <v>-3.6102000000000002E-2</v>
      </c>
      <c r="G306">
        <f t="shared" si="27"/>
        <v>6.874799999999999E-2</v>
      </c>
      <c r="H306">
        <f t="shared" si="28"/>
        <v>2.1000000000000185E-5</v>
      </c>
      <c r="I306" s="1">
        <f>'Fama-French Data'!A306</f>
        <v>3.3999999999999998E-3</v>
      </c>
      <c r="J306" s="1">
        <f>'Fama-French Data'!B306</f>
        <v>1.6E-2</v>
      </c>
      <c r="K306" s="1">
        <f>'Fama-French Data'!C306</f>
        <v>-7.7899999999999997E-2</v>
      </c>
      <c r="L306">
        <f>'Fama-French Data'!F306</f>
        <v>-8.8000000000000005E-3</v>
      </c>
      <c r="M306">
        <f t="shared" si="29"/>
        <v>4684.815170897381</v>
      </c>
      <c r="N306">
        <f t="shared" si="30"/>
        <v>6605.4483993924787</v>
      </c>
      <c r="O306">
        <f t="shared" si="31"/>
        <v>6537.1871231716932</v>
      </c>
    </row>
    <row r="307" spans="1:15" x14ac:dyDescent="0.25">
      <c r="A307" s="3">
        <v>45107</v>
      </c>
      <c r="B307" s="1">
        <v>7.4426000000000006E-2</v>
      </c>
      <c r="C307" s="1">
        <v>6.5810999999999995E-2</v>
      </c>
      <c r="D307" s="1">
        <v>6.5662999999999999E-2</v>
      </c>
      <c r="E307" s="1">
        <f>'Fama-French Data'!D307</f>
        <v>4.0000000000000001E-3</v>
      </c>
      <c r="F307">
        <f t="shared" si="26"/>
        <v>7.0426000000000002E-2</v>
      </c>
      <c r="G307">
        <f t="shared" si="27"/>
        <v>6.1810999999999991E-2</v>
      </c>
      <c r="H307">
        <f t="shared" si="28"/>
        <v>6.1662999999999996E-2</v>
      </c>
      <c r="I307" s="1">
        <f>'Fama-French Data'!A307</f>
        <v>6.4600000000000005E-2</v>
      </c>
      <c r="J307" s="1">
        <f>'Fama-French Data'!B307</f>
        <v>1.49E-2</v>
      </c>
      <c r="K307" s="1">
        <f>'Fama-French Data'!C307</f>
        <v>-1.2999999999999999E-3</v>
      </c>
      <c r="L307">
        <f>'Fama-French Data'!F307</f>
        <v>-2.69E-2</v>
      </c>
      <c r="M307">
        <f t="shared" si="29"/>
        <v>5033.4872248065903</v>
      </c>
      <c r="N307">
        <f t="shared" si="30"/>
        <v>7040.1595640048972</v>
      </c>
      <c r="O307">
        <f t="shared" si="31"/>
        <v>6966.4384412405161</v>
      </c>
    </row>
    <row r="308" spans="1:15" x14ac:dyDescent="0.25">
      <c r="A308" s="3">
        <v>45138</v>
      </c>
      <c r="B308" s="1">
        <v>3.4382000000000003E-2</v>
      </c>
      <c r="C308" s="1">
        <v>2.4854000000000001E-2</v>
      </c>
      <c r="D308" s="1">
        <v>3.1753000000000003E-2</v>
      </c>
      <c r="E308" s="1">
        <f>'Fama-French Data'!D308</f>
        <v>4.4999999999999997E-3</v>
      </c>
      <c r="F308">
        <f t="shared" si="26"/>
        <v>2.9882000000000002E-2</v>
      </c>
      <c r="G308">
        <f t="shared" si="27"/>
        <v>2.0354000000000001E-2</v>
      </c>
      <c r="H308">
        <f t="shared" si="28"/>
        <v>2.7253000000000003E-2</v>
      </c>
      <c r="I308" s="1">
        <f>'Fama-French Data'!A308</f>
        <v>3.2099999999999997E-2</v>
      </c>
      <c r="J308" s="1">
        <f>'Fama-French Data'!B308</f>
        <v>2.0500000000000001E-2</v>
      </c>
      <c r="K308" s="1">
        <f>'Fama-French Data'!C308</f>
        <v>4.0599999999999997E-2</v>
      </c>
      <c r="L308">
        <f>'Fama-French Data'!F308</f>
        <v>-4.0599999999999997E-2</v>
      </c>
      <c r="M308">
        <f t="shared" si="29"/>
        <v>5206.5485825698897</v>
      </c>
      <c r="N308">
        <f t="shared" si="30"/>
        <v>7215.1356898086742</v>
      </c>
      <c r="O308">
        <f t="shared" si="31"/>
        <v>7187.6437610652256</v>
      </c>
    </row>
    <row r="309" spans="1:15" x14ac:dyDescent="0.25">
      <c r="A309" s="3">
        <v>45169</v>
      </c>
      <c r="B309" s="1">
        <v>-9.9010000000000001E-3</v>
      </c>
      <c r="C309" s="1">
        <v>-4.1679999999999998E-3</v>
      </c>
      <c r="D309" s="1">
        <v>-1.6317999999999999E-2</v>
      </c>
      <c r="E309" s="1">
        <f>'Fama-French Data'!D309</f>
        <v>4.4999999999999997E-3</v>
      </c>
      <c r="F309">
        <f t="shared" si="26"/>
        <v>-1.4401000000000001E-2</v>
      </c>
      <c r="G309">
        <f t="shared" si="27"/>
        <v>-8.6679999999999986E-3</v>
      </c>
      <c r="H309">
        <f t="shared" si="28"/>
        <v>-2.0818E-2</v>
      </c>
      <c r="I309" s="1">
        <f>'Fama-French Data'!A309</f>
        <v>-2.3599999999999999E-2</v>
      </c>
      <c r="J309" s="1">
        <f>'Fama-French Data'!B309</f>
        <v>-3.1399999999999997E-2</v>
      </c>
      <c r="K309" s="1">
        <f>'Fama-French Data'!C309</f>
        <v>-1.15E-2</v>
      </c>
      <c r="L309">
        <f>'Fama-French Data'!F309</f>
        <v>3.78E-2</v>
      </c>
      <c r="M309">
        <f t="shared" si="29"/>
        <v>5154.9985450538652</v>
      </c>
      <c r="N309">
        <f t="shared" si="30"/>
        <v>7185.0630042535522</v>
      </c>
      <c r="O309">
        <f t="shared" si="31"/>
        <v>7070.3557901721624</v>
      </c>
    </row>
    <row r="310" spans="1:15" x14ac:dyDescent="0.25">
      <c r="A310" s="3">
        <v>45198</v>
      </c>
      <c r="B310" s="1">
        <v>-2.0825E-2</v>
      </c>
      <c r="C310" s="1">
        <v>-6.3166E-2</v>
      </c>
      <c r="D310" s="1">
        <v>-4.7718000000000003E-2</v>
      </c>
      <c r="E310" s="1">
        <f>'Fama-French Data'!D310</f>
        <v>4.3E-3</v>
      </c>
      <c r="F310">
        <f t="shared" si="26"/>
        <v>-2.5125000000000001E-2</v>
      </c>
      <c r="G310">
        <f t="shared" si="27"/>
        <v>-6.7465999999999998E-2</v>
      </c>
      <c r="H310">
        <f t="shared" si="28"/>
        <v>-5.2018000000000002E-2</v>
      </c>
      <c r="I310" s="1">
        <f>'Fama-French Data'!A310</f>
        <v>-5.2299999999999999E-2</v>
      </c>
      <c r="J310" s="1">
        <f>'Fama-French Data'!B310</f>
        <v>-2.5100000000000001E-2</v>
      </c>
      <c r="K310" s="1">
        <f>'Fama-French Data'!C310</f>
        <v>1.49E-2</v>
      </c>
      <c r="L310">
        <f>'Fama-French Data'!F310</f>
        <v>3.3E-3</v>
      </c>
      <c r="M310">
        <f t="shared" si="29"/>
        <v>5047.6457003531186</v>
      </c>
      <c r="N310">
        <f t="shared" si="30"/>
        <v>6731.2113145268722</v>
      </c>
      <c r="O310">
        <f t="shared" si="31"/>
        <v>6732.9725525767271</v>
      </c>
    </row>
    <row r="311" spans="1:15" x14ac:dyDescent="0.25">
      <c r="A311" s="3">
        <v>45230</v>
      </c>
      <c r="B311" s="1">
        <v>-3.2305E-2</v>
      </c>
      <c r="C311" s="1">
        <v>-6.9049999999999997E-3</v>
      </c>
      <c r="D311" s="1">
        <v>-2.0999E-2</v>
      </c>
      <c r="E311" s="1">
        <f>'Fama-French Data'!D311</f>
        <v>4.7000000000000002E-3</v>
      </c>
      <c r="F311">
        <f t="shared" si="26"/>
        <v>-3.7005000000000003E-2</v>
      </c>
      <c r="G311">
        <f t="shared" si="27"/>
        <v>-1.1605000000000001E-2</v>
      </c>
      <c r="H311">
        <f t="shared" si="28"/>
        <v>-2.5699E-2</v>
      </c>
      <c r="I311" s="1">
        <f>'Fama-French Data'!A311</f>
        <v>-3.15E-2</v>
      </c>
      <c r="J311" s="1">
        <f>'Fama-French Data'!B311</f>
        <v>-3.8600000000000002E-2</v>
      </c>
      <c r="K311" s="1">
        <f>'Fama-French Data'!C311</f>
        <v>2E-3</v>
      </c>
      <c r="L311">
        <f>'Fama-French Data'!F311</f>
        <v>1.67E-2</v>
      </c>
      <c r="M311">
        <f t="shared" si="29"/>
        <v>4884.581506003211</v>
      </c>
      <c r="N311">
        <f t="shared" si="30"/>
        <v>6684.7323004000637</v>
      </c>
      <c r="O311">
        <f t="shared" si="31"/>
        <v>6591.5868619451685</v>
      </c>
    </row>
    <row r="312" spans="1:15" x14ac:dyDescent="0.25">
      <c r="A312" s="3">
        <v>45260</v>
      </c>
      <c r="B312" s="1">
        <v>5.3110999999999998E-2</v>
      </c>
      <c r="C312" s="1">
        <v>0.11779100000000001</v>
      </c>
      <c r="D312" s="1">
        <v>9.0915999999999997E-2</v>
      </c>
      <c r="E312" s="1">
        <f>'Fama-French Data'!D312</f>
        <v>4.4000000000000003E-3</v>
      </c>
      <c r="F312">
        <f t="shared" si="26"/>
        <v>4.8710999999999997E-2</v>
      </c>
      <c r="G312">
        <f t="shared" si="27"/>
        <v>0.11339100000000001</v>
      </c>
      <c r="H312">
        <f t="shared" si="28"/>
        <v>8.6515999999999996E-2</v>
      </c>
      <c r="I312" s="1">
        <f>'Fama-French Data'!A312</f>
        <v>8.8800000000000004E-2</v>
      </c>
      <c r="J312" s="1">
        <f>'Fama-French Data'!B312</f>
        <v>-1E-3</v>
      </c>
      <c r="K312" s="1">
        <f>'Fama-French Data'!C312</f>
        <v>1.67E-2</v>
      </c>
      <c r="L312">
        <f>'Fama-French Data'!F312</f>
        <v>2.5600000000000001E-2</v>
      </c>
      <c r="M312">
        <f t="shared" si="29"/>
        <v>5144.006514368547</v>
      </c>
      <c r="N312">
        <f t="shared" si="30"/>
        <v>7472.1336027964871</v>
      </c>
      <c r="O312">
        <f t="shared" si="31"/>
        <v>7190.8675730857758</v>
      </c>
    </row>
    <row r="313" spans="1:15" x14ac:dyDescent="0.25">
      <c r="A313" s="3">
        <v>45289</v>
      </c>
      <c r="B313" s="1">
        <v>7.4903999999999998E-2</v>
      </c>
      <c r="C313" s="1">
        <v>3.8136999999999997E-2</v>
      </c>
      <c r="D313" s="1">
        <v>4.4941000000000002E-2</v>
      </c>
      <c r="E313" s="1">
        <f>'Fama-French Data'!D313</f>
        <v>4.3E-3</v>
      </c>
      <c r="F313">
        <f t="shared" si="26"/>
        <v>7.0604E-2</v>
      </c>
      <c r="G313">
        <f t="shared" si="27"/>
        <v>3.3836999999999999E-2</v>
      </c>
      <c r="H313">
        <f t="shared" si="28"/>
        <v>4.0641000000000004E-2</v>
      </c>
      <c r="I313" s="1">
        <f>'Fama-French Data'!A313</f>
        <v>4.8500000000000001E-2</v>
      </c>
      <c r="J313" s="1">
        <f>'Fama-French Data'!B313</f>
        <v>6.3E-2</v>
      </c>
      <c r="K313" s="1">
        <f>'Fama-French Data'!C313</f>
        <v>4.8899999999999999E-2</v>
      </c>
      <c r="L313">
        <f>'Fama-French Data'!F313</f>
        <v>-5.5300000000000002E-2</v>
      </c>
      <c r="M313">
        <f t="shared" si="29"/>
        <v>5529.3131783208091</v>
      </c>
      <c r="N313">
        <f t="shared" si="30"/>
        <v>7757.0983620063371</v>
      </c>
      <c r="O313">
        <f t="shared" si="31"/>
        <v>7514.0323526878228</v>
      </c>
    </row>
    <row r="314" spans="1:15" x14ac:dyDescent="0.25">
      <c r="A314" s="3">
        <v>45322</v>
      </c>
      <c r="B314" s="1">
        <v>1.1306999999999999E-2</v>
      </c>
      <c r="C314" s="1">
        <v>3.4778999999999997E-2</v>
      </c>
      <c r="D314" s="1">
        <v>1.6417999999999999E-2</v>
      </c>
      <c r="E314" s="1">
        <f>'Fama-French Data'!D314</f>
        <v>4.7000000000000002E-3</v>
      </c>
      <c r="F314">
        <f t="shared" si="26"/>
        <v>6.6069999999999992E-3</v>
      </c>
      <c r="G314">
        <f t="shared" si="27"/>
        <v>3.0078999999999998E-2</v>
      </c>
      <c r="H314">
        <f t="shared" si="28"/>
        <v>1.1717999999999999E-2</v>
      </c>
      <c r="I314" s="1">
        <f>'Fama-French Data'!A314</f>
        <v>7.3000000000000001E-3</v>
      </c>
      <c r="J314" s="1">
        <f>'Fama-French Data'!B314</f>
        <v>-5.0700000000000002E-2</v>
      </c>
      <c r="K314" s="1">
        <f>'Fama-French Data'!C314</f>
        <v>-2.3800000000000002E-2</v>
      </c>
      <c r="L314">
        <f>'Fama-French Data'!F314</f>
        <v>5.4199999999999998E-2</v>
      </c>
      <c r="M314">
        <f t="shared" si="29"/>
        <v>5591.8331224280819</v>
      </c>
      <c r="N314">
        <f t="shared" si="30"/>
        <v>8026.882485938555</v>
      </c>
      <c r="O314">
        <f t="shared" si="31"/>
        <v>7637.3977358542516</v>
      </c>
    </row>
    <row r="315" spans="1:15" x14ac:dyDescent="0.25">
      <c r="A315" s="3">
        <v>45351</v>
      </c>
      <c r="B315" s="1">
        <v>3.4242000000000002E-2</v>
      </c>
      <c r="C315" s="1">
        <v>7.9507999999999995E-2</v>
      </c>
      <c r="D315" s="1">
        <v>5.3114000000000001E-2</v>
      </c>
      <c r="E315" s="1">
        <f>'Fama-French Data'!D315</f>
        <v>4.1999999999999997E-3</v>
      </c>
      <c r="F315">
        <f t="shared" si="26"/>
        <v>3.0042000000000003E-2</v>
      </c>
      <c r="G315">
        <f t="shared" si="27"/>
        <v>7.5308E-2</v>
      </c>
      <c r="H315">
        <f t="shared" si="28"/>
        <v>4.8913999999999999E-2</v>
      </c>
      <c r="I315" s="1">
        <f>'Fama-French Data'!A315</f>
        <v>5.0700000000000002E-2</v>
      </c>
      <c r="J315" s="1">
        <f>'Fama-French Data'!B315</f>
        <v>-2.3999999999999998E-3</v>
      </c>
      <c r="K315" s="1">
        <f>'Fama-French Data'!C315</f>
        <v>-3.4299999999999997E-2</v>
      </c>
      <c r="L315">
        <f>'Fama-French Data'!F315</f>
        <v>4.9000000000000002E-2</v>
      </c>
      <c r="M315">
        <f t="shared" si="29"/>
        <v>5783.3086722062644</v>
      </c>
      <c r="N315">
        <f t="shared" si="30"/>
        <v>8665.0838586305563</v>
      </c>
      <c r="O315">
        <f t="shared" si="31"/>
        <v>8043.0504791964149</v>
      </c>
    </row>
    <row r="316" spans="1:15" x14ac:dyDescent="0.25">
      <c r="A316" s="3">
        <v>45379</v>
      </c>
      <c r="B316" s="1">
        <v>6.3349000000000003E-2</v>
      </c>
      <c r="C316" s="1">
        <v>2.6783000000000001E-2</v>
      </c>
      <c r="D316" s="1">
        <v>3.2015000000000002E-2</v>
      </c>
      <c r="E316" s="1">
        <f>'Fama-French Data'!D316</f>
        <v>4.3E-3</v>
      </c>
      <c r="F316">
        <f t="shared" si="26"/>
        <v>5.9049000000000004E-2</v>
      </c>
      <c r="G316">
        <f t="shared" si="27"/>
        <v>2.2483000000000003E-2</v>
      </c>
      <c r="H316">
        <f t="shared" si="28"/>
        <v>2.7715000000000004E-2</v>
      </c>
      <c r="I316" s="1">
        <f>'Fama-French Data'!A316</f>
        <v>2.8400000000000002E-2</v>
      </c>
      <c r="J316" s="1">
        <f>'Fama-French Data'!B316</f>
        <v>-2.5000000000000001E-2</v>
      </c>
      <c r="K316" s="1">
        <f>'Fama-French Data'!C316</f>
        <v>4.1599999999999998E-2</v>
      </c>
      <c r="L316">
        <f>'Fama-French Data'!F316</f>
        <v>-3.2000000000000002E-3</v>
      </c>
      <c r="M316">
        <f t="shared" si="29"/>
        <v>6149.6754932818594</v>
      </c>
      <c r="N316">
        <f t="shared" si="30"/>
        <v>8897.1607996162584</v>
      </c>
      <c r="O316">
        <f t="shared" si="31"/>
        <v>8300.548740287888</v>
      </c>
    </row>
    <row r="317" spans="1:15" x14ac:dyDescent="0.25">
      <c r="A317" s="3">
        <v>45412</v>
      </c>
      <c r="B317" s="1">
        <v>-4.6644999999999999E-2</v>
      </c>
      <c r="C317" s="1">
        <v>-4.8908E-2</v>
      </c>
      <c r="D317" s="1">
        <v>-4.1208000000000002E-2</v>
      </c>
      <c r="E317" s="1">
        <f>'Fama-French Data'!D317</f>
        <v>4.7000000000000002E-3</v>
      </c>
      <c r="F317">
        <f t="shared" si="26"/>
        <v>-5.1345000000000002E-2</v>
      </c>
      <c r="G317">
        <f t="shared" si="27"/>
        <v>-5.3608000000000003E-2</v>
      </c>
      <c r="H317">
        <f t="shared" si="28"/>
        <v>-4.5908000000000004E-2</v>
      </c>
      <c r="I317" s="1">
        <f>'Fama-French Data'!A317</f>
        <v>-4.65E-2</v>
      </c>
      <c r="J317" s="1">
        <f>'Fama-French Data'!B317</f>
        <v>-2.3699999999999999E-2</v>
      </c>
      <c r="K317" s="1">
        <f>'Fama-French Data'!C317</f>
        <v>-4.4999999999999997E-3</v>
      </c>
      <c r="L317">
        <f>'Fama-French Data'!F317</f>
        <v>-4.3E-3</v>
      </c>
      <c r="M317">
        <f t="shared" si="29"/>
        <v>5862.8238798977272</v>
      </c>
      <c r="N317">
        <f t="shared" si="30"/>
        <v>8462.0184592286259</v>
      </c>
      <c r="O317">
        <f t="shared" si="31"/>
        <v>7958.4997277981047</v>
      </c>
    </row>
    <row r="318" spans="1:15" x14ac:dyDescent="0.25">
      <c r="A318" s="3">
        <v>45443</v>
      </c>
      <c r="B318" s="1">
        <v>2.2117999999999999E-2</v>
      </c>
      <c r="C318" s="1">
        <v>7.6790999999999998E-2</v>
      </c>
      <c r="D318" s="1">
        <v>4.8999000000000001E-2</v>
      </c>
      <c r="E318" s="1">
        <f>'Fama-French Data'!D318</f>
        <v>4.4000000000000003E-3</v>
      </c>
      <c r="F318">
        <f t="shared" si="26"/>
        <v>1.7717999999999998E-2</v>
      </c>
      <c r="G318">
        <f t="shared" si="27"/>
        <v>7.2390999999999997E-2</v>
      </c>
      <c r="H318">
        <f t="shared" si="28"/>
        <v>4.4599E-2</v>
      </c>
      <c r="I318" s="1">
        <f>'Fama-French Data'!A318</f>
        <v>4.3299999999999998E-2</v>
      </c>
      <c r="J318" s="1">
        <f>'Fama-French Data'!B318</f>
        <v>5.4999999999999997E-3</v>
      </c>
      <c r="K318" s="1">
        <f>'Fama-French Data'!C318</f>
        <v>-1.3100000000000001E-2</v>
      </c>
      <c r="L318">
        <f>'Fama-French Data'!F318</f>
        <v>-1.6000000000000001E-3</v>
      </c>
      <c r="M318">
        <f t="shared" si="29"/>
        <v>5992.4978184733054</v>
      </c>
      <c r="N318">
        <f t="shared" si="30"/>
        <v>9111.8253187312512</v>
      </c>
      <c r="O318">
        <f t="shared" si="31"/>
        <v>8348.4582559604842</v>
      </c>
    </row>
    <row r="319" spans="1:15" x14ac:dyDescent="0.25">
      <c r="A319" s="3">
        <v>45471</v>
      </c>
      <c r="B319" s="1">
        <v>9.2060000000000006E-3</v>
      </c>
      <c r="C319" s="1">
        <v>7.9273999999999997E-2</v>
      </c>
      <c r="D319" s="1">
        <v>3.5206000000000001E-2</v>
      </c>
      <c r="E319" s="1">
        <f>'Fama-French Data'!D319</f>
        <v>4.1000000000000003E-3</v>
      </c>
      <c r="F319">
        <f t="shared" si="26"/>
        <v>5.1060000000000003E-3</v>
      </c>
      <c r="G319">
        <f t="shared" si="27"/>
        <v>7.5173999999999991E-2</v>
      </c>
      <c r="H319">
        <f t="shared" si="28"/>
        <v>3.1106000000000002E-2</v>
      </c>
      <c r="I319" s="1">
        <f>'Fama-French Data'!A319</f>
        <v>2.8000000000000001E-2</v>
      </c>
      <c r="J319" s="1">
        <f>'Fama-French Data'!B319</f>
        <v>-0.03</v>
      </c>
      <c r="K319" s="1">
        <f>'Fama-French Data'!C319</f>
        <v>-3.3599999999999998E-2</v>
      </c>
      <c r="L319">
        <f>'Fama-French Data'!F319</f>
        <v>8.5000000000000006E-3</v>
      </c>
      <c r="M319">
        <f t="shared" si="29"/>
        <v>6047.6647533901705</v>
      </c>
      <c r="N319">
        <f t="shared" si="30"/>
        <v>9834.1561590483525</v>
      </c>
      <c r="O319">
        <f t="shared" si="31"/>
        <v>8642.3740773198297</v>
      </c>
    </row>
    <row r="320" spans="1:15" x14ac:dyDescent="0.25">
      <c r="A320" s="3">
        <v>45504</v>
      </c>
      <c r="B320" s="1">
        <v>3.5270999999999997E-2</v>
      </c>
      <c r="C320" s="1">
        <v>-3.3627999999999998E-2</v>
      </c>
      <c r="D320" s="1">
        <v>1.2017E-2</v>
      </c>
      <c r="E320" s="1">
        <f>'Fama-French Data'!D320</f>
        <v>4.4999999999999997E-3</v>
      </c>
      <c r="F320">
        <f t="shared" si="26"/>
        <v>3.0770999999999996E-2</v>
      </c>
      <c r="G320">
        <f t="shared" si="27"/>
        <v>-3.8127999999999995E-2</v>
      </c>
      <c r="H320">
        <f t="shared" si="28"/>
        <v>7.5170000000000002E-3</v>
      </c>
      <c r="I320" s="1">
        <f>'Fama-French Data'!A320</f>
        <v>1.2200000000000001E-2</v>
      </c>
      <c r="J320" s="1">
        <f>'Fama-French Data'!B320</f>
        <v>6.8099999999999994E-2</v>
      </c>
      <c r="K320" s="1">
        <f>'Fama-French Data'!C320</f>
        <v>5.62E-2</v>
      </c>
      <c r="L320">
        <f>'Fama-French Data'!F320</f>
        <v>-2.35E-2</v>
      </c>
      <c r="M320">
        <f t="shared" si="29"/>
        <v>6260.9719369069953</v>
      </c>
      <c r="N320">
        <f t="shared" si="30"/>
        <v>9503.4531557318751</v>
      </c>
      <c r="O320">
        <f t="shared" si="31"/>
        <v>8746.2294866069824</v>
      </c>
    </row>
    <row r="321" spans="1:15" x14ac:dyDescent="0.25">
      <c r="A321" s="3">
        <v>45534</v>
      </c>
      <c r="B321" s="1">
        <v>7.5709999999999996E-3</v>
      </c>
      <c r="C321" s="1">
        <v>2.3504000000000001E-2</v>
      </c>
      <c r="D321" s="1">
        <v>2.3748999999999999E-2</v>
      </c>
      <c r="E321" s="1">
        <f>'Fama-French Data'!D321</f>
        <v>4.7999999999999996E-3</v>
      </c>
      <c r="F321">
        <f t="shared" si="26"/>
        <v>2.771E-3</v>
      </c>
      <c r="G321">
        <f t="shared" si="27"/>
        <v>1.8704000000000002E-2</v>
      </c>
      <c r="H321">
        <f t="shared" si="28"/>
        <v>1.8949000000000001E-2</v>
      </c>
      <c r="I321" s="1">
        <f>'Fama-French Data'!A321</f>
        <v>1.6E-2</v>
      </c>
      <c r="J321" s="1">
        <f>'Fama-French Data'!B321</f>
        <v>-3.49E-2</v>
      </c>
      <c r="K321" s="1">
        <f>'Fama-French Data'!C321</f>
        <v>-1.0999999999999999E-2</v>
      </c>
      <c r="L321">
        <f>'Fama-French Data'!F321</f>
        <v>4.8099999999999997E-2</v>
      </c>
      <c r="M321">
        <f t="shared" si="29"/>
        <v>6308.3737554413183</v>
      </c>
      <c r="N321">
        <f t="shared" si="30"/>
        <v>9726.8223187041967</v>
      </c>
      <c r="O321">
        <f t="shared" si="31"/>
        <v>8953.9436906844112</v>
      </c>
    </row>
    <row r="322" spans="1:15" x14ac:dyDescent="0.25">
      <c r="A322" s="3">
        <v>45565</v>
      </c>
      <c r="B322" s="1">
        <v>1.0246999999999999E-2</v>
      </c>
      <c r="C322" s="1">
        <v>2.4754000000000002E-2</v>
      </c>
      <c r="D322" s="1">
        <v>2.0954E-2</v>
      </c>
      <c r="E322" s="1">
        <f>'Fama-French Data'!D322</f>
        <v>4.0000000000000001E-3</v>
      </c>
      <c r="F322">
        <f t="shared" si="26"/>
        <v>6.2469999999999991E-3</v>
      </c>
      <c r="G322">
        <f t="shared" si="27"/>
        <v>2.0754000000000002E-2</v>
      </c>
      <c r="H322">
        <f t="shared" si="28"/>
        <v>1.6954E-2</v>
      </c>
      <c r="I322" s="1">
        <f>'Fama-French Data'!A322</f>
        <v>1.72E-2</v>
      </c>
      <c r="J322" s="1">
        <f>'Fama-French Data'!B322</f>
        <v>-1.2999999999999999E-3</v>
      </c>
      <c r="K322" s="1">
        <f>'Fama-French Data'!C322</f>
        <v>-2.7699999999999999E-2</v>
      </c>
      <c r="L322">
        <f>'Fama-French Data'!F322</f>
        <v>-6.1999999999999998E-3</v>
      </c>
      <c r="M322">
        <f t="shared" si="29"/>
        <v>6373.0156613133249</v>
      </c>
      <c r="N322">
        <f t="shared" si="30"/>
        <v>9967.6000783813997</v>
      </c>
      <c r="O322">
        <f t="shared" si="31"/>
        <v>9141.5646267790107</v>
      </c>
    </row>
    <row r="323" spans="1:15" x14ac:dyDescent="0.25">
      <c r="A323" s="3">
        <v>45596</v>
      </c>
      <c r="B323" s="1">
        <v>1.2459999999999999E-3</v>
      </c>
      <c r="C323" s="1">
        <v>9.0220000000000005E-3</v>
      </c>
      <c r="D323" s="1">
        <v>-9.5510000000000005E-3</v>
      </c>
      <c r="E323" s="1">
        <f>'Fama-French Data'!D323</f>
        <v>3.8999999999999998E-3</v>
      </c>
      <c r="F323">
        <f t="shared" si="26"/>
        <v>-2.6540000000000001E-3</v>
      </c>
      <c r="G323">
        <f t="shared" si="27"/>
        <v>5.1220000000000007E-3</v>
      </c>
      <c r="H323">
        <f t="shared" si="28"/>
        <v>-1.3451000000000001E-2</v>
      </c>
      <c r="I323" s="1">
        <f>'Fama-French Data'!A323</f>
        <v>-0.01</v>
      </c>
      <c r="J323" s="1">
        <f>'Fama-French Data'!B323</f>
        <v>-9.9000000000000008E-3</v>
      </c>
      <c r="K323" s="1">
        <f>'Fama-French Data'!C323</f>
        <v>8.6E-3</v>
      </c>
      <c r="L323">
        <f>'Fama-French Data'!F323</f>
        <v>0.03</v>
      </c>
      <c r="M323">
        <f t="shared" si="29"/>
        <v>6380.956438827322</v>
      </c>
      <c r="N323">
        <f t="shared" si="30"/>
        <v>10057.527766288558</v>
      </c>
      <c r="O323">
        <f t="shared" si="31"/>
        <v>9054.2535430286443</v>
      </c>
    </row>
    <row r="324" spans="1:15" x14ac:dyDescent="0.25">
      <c r="A324" s="3">
        <v>45625</v>
      </c>
      <c r="B324" s="1">
        <v>6.7206000000000002E-2</v>
      </c>
      <c r="C324" s="1">
        <v>6.1148000000000001E-2</v>
      </c>
      <c r="D324" s="1">
        <v>5.8480999999999998E-2</v>
      </c>
      <c r="E324" s="1">
        <f>'Fama-French Data'!D324</f>
        <v>4.0000000000000001E-3</v>
      </c>
      <c r="F324">
        <f t="shared" si="26"/>
        <v>6.3205999999999998E-2</v>
      </c>
      <c r="G324">
        <f t="shared" si="27"/>
        <v>5.7148000000000004E-2</v>
      </c>
      <c r="H324">
        <f t="shared" si="28"/>
        <v>5.4481000000000002E-2</v>
      </c>
      <c r="I324" s="1">
        <f>'Fama-French Data'!A324</f>
        <v>6.4899999999999999E-2</v>
      </c>
      <c r="J324" s="1">
        <f>'Fama-French Data'!B324</f>
        <v>4.4600000000000001E-2</v>
      </c>
      <c r="K324" s="1">
        <f>'Fama-French Data'!C324</f>
        <v>1.5E-3</v>
      </c>
      <c r="L324">
        <f>'Fama-French Data'!F324</f>
        <v>0.01</v>
      </c>
      <c r="M324">
        <f t="shared" ref="M324:M325" si="32">M323*(B324+1)</f>
        <v>6809.7949972551514</v>
      </c>
      <c r="N324">
        <f t="shared" ref="N324:N325" si="33">N323*(C324+1)</f>
        <v>10672.52547414157</v>
      </c>
      <c r="O324">
        <f t="shared" ref="O324:O325" si="34">O323*(D324+1)</f>
        <v>9583.7553444785026</v>
      </c>
    </row>
    <row r="325" spans="1:15" x14ac:dyDescent="0.25">
      <c r="A325" s="3">
        <v>45657</v>
      </c>
      <c r="B325" s="1">
        <v>-6.4928E-2</v>
      </c>
      <c r="C325" s="1">
        <v>-1.3623E-2</v>
      </c>
      <c r="D325" s="1">
        <v>-2.4324999999999999E-2</v>
      </c>
      <c r="E325" s="1">
        <f>'Fama-French Data'!D325</f>
        <v>3.7000000000000002E-3</v>
      </c>
      <c r="F325">
        <f t="shared" si="26"/>
        <v>-6.8627999999999995E-2</v>
      </c>
      <c r="G325">
        <f t="shared" si="27"/>
        <v>-1.7322999999999998E-2</v>
      </c>
      <c r="H325">
        <f t="shared" si="28"/>
        <v>-2.8025000000000001E-2</v>
      </c>
      <c r="I325" s="1">
        <f>'Fama-French Data'!A325</f>
        <v>-3.1699999999999999E-2</v>
      </c>
      <c r="J325" s="1">
        <f>'Fama-French Data'!B325</f>
        <v>-2.7099999999999999E-2</v>
      </c>
      <c r="K325" s="1">
        <f>'Fama-French Data'!C325</f>
        <v>-0.03</v>
      </c>
      <c r="L325">
        <f>'Fama-French Data'!F325</f>
        <v>-3.0000000000000001E-3</v>
      </c>
      <c r="M325">
        <f t="shared" si="32"/>
        <v>6367.6486276733694</v>
      </c>
      <c r="N325">
        <f t="shared" si="33"/>
        <v>10527.13365960734</v>
      </c>
      <c r="O325">
        <f t="shared" si="34"/>
        <v>9350.6304957240627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7C535-9A08-4630-AA89-771B5718938C}">
  <dimension ref="A1:L10"/>
  <sheetViews>
    <sheetView workbookViewId="0">
      <selection activeCell="D23" sqref="D23"/>
    </sheetView>
  </sheetViews>
  <sheetFormatPr defaultRowHeight="15" x14ac:dyDescent="0.25"/>
  <cols>
    <col min="1" max="1" width="17.28515625" bestFit="1" customWidth="1"/>
    <col min="2" max="2" width="12.42578125" bestFit="1" customWidth="1"/>
    <col min="3" max="3" width="15.42578125" bestFit="1" customWidth="1"/>
    <col min="4" max="5" width="17.28515625" customWidth="1"/>
    <col min="6" max="6" width="14.5703125" customWidth="1"/>
    <col min="7" max="7" width="15.140625" customWidth="1"/>
    <col min="9" max="9" width="17.28515625" bestFit="1" customWidth="1"/>
    <col min="10" max="12" width="22.28515625" bestFit="1" customWidth="1"/>
    <col min="13" max="13" width="10.5703125" bestFit="1" customWidth="1"/>
    <col min="14" max="14" width="17.28515625" bestFit="1" customWidth="1"/>
    <col min="15" max="15" width="12.42578125" bestFit="1" customWidth="1"/>
    <col min="16" max="16" width="13.140625" bestFit="1" customWidth="1"/>
    <col min="17" max="17" width="19.42578125" bestFit="1" customWidth="1"/>
    <col min="18" max="19" width="22.28515625" bestFit="1" customWidth="1"/>
    <col min="20" max="20" width="20" bestFit="1" customWidth="1"/>
    <col min="21" max="21" width="19.42578125" bestFit="1" customWidth="1"/>
    <col min="22" max="23" width="22.28515625" bestFit="1" customWidth="1"/>
    <col min="24" max="24" width="25" bestFit="1" customWidth="1"/>
    <col min="25" max="25" width="24.42578125" bestFit="1" customWidth="1"/>
    <col min="26" max="27" width="27.28515625" bestFit="1" customWidth="1"/>
    <col min="28" max="28" width="26.42578125" bestFit="1" customWidth="1"/>
    <col min="29" max="29" width="29.140625" bestFit="1" customWidth="1"/>
    <col min="30" max="30" width="25" bestFit="1" customWidth="1"/>
    <col min="31" max="31" width="24.42578125" bestFit="1" customWidth="1"/>
    <col min="32" max="32" width="27.28515625" bestFit="1" customWidth="1"/>
  </cols>
  <sheetData>
    <row r="1" spans="1:12" x14ac:dyDescent="0.25">
      <c r="A1" t="s">
        <v>116</v>
      </c>
      <c r="B1" t="s">
        <v>117</v>
      </c>
      <c r="C1" t="s">
        <v>118</v>
      </c>
      <c r="D1" t="s">
        <v>119</v>
      </c>
      <c r="E1" t="s">
        <v>120</v>
      </c>
      <c r="F1" t="s">
        <v>121</v>
      </c>
      <c r="G1" t="s">
        <v>122</v>
      </c>
      <c r="I1" s="26" t="s">
        <v>116</v>
      </c>
      <c r="J1" t="s">
        <v>118</v>
      </c>
      <c r="K1" t="s">
        <v>119</v>
      </c>
      <c r="L1" t="s">
        <v>120</v>
      </c>
    </row>
    <row r="2" spans="1:12" x14ac:dyDescent="0.25">
      <c r="A2" t="s">
        <v>16</v>
      </c>
      <c r="B2" s="26" t="s">
        <v>194</v>
      </c>
      <c r="C2" s="13">
        <f>'Alphas 1998-2013'!B20*12</f>
        <v>-1.3491384036628563E-3</v>
      </c>
      <c r="D2" s="13">
        <f>'Alphas 1998-2013'!L20*12</f>
        <v>-5.8035133340454959E-3</v>
      </c>
      <c r="E2" s="13">
        <f>'Alphas 1998-2013'!V20*12</f>
        <v>-9.0707638986264449E-3</v>
      </c>
      <c r="F2" s="13">
        <f>'Sharpe+Treynor Ratio'!F3</f>
        <v>0.31421600074630163</v>
      </c>
      <c r="G2" s="13">
        <f>'Sharpe+Treynor Ratio'!F15</f>
        <v>5.3517176205405845E-2</v>
      </c>
      <c r="I2" t="str">
        <f>_xlfn.CONCAT(A2," ",B2)</f>
        <v>FGINX 1998-2013</v>
      </c>
      <c r="J2" s="13">
        <f>C2</f>
        <v>-1.3491384036628563E-3</v>
      </c>
      <c r="K2" s="13">
        <f t="shared" ref="K2:L2" si="0">D2</f>
        <v>-5.8035133340454959E-3</v>
      </c>
      <c r="L2" s="13">
        <f t="shared" si="0"/>
        <v>-9.0707638986264449E-3</v>
      </c>
    </row>
    <row r="3" spans="1:12" x14ac:dyDescent="0.25">
      <c r="A3" t="s">
        <v>124</v>
      </c>
      <c r="B3" s="26" t="s">
        <v>194</v>
      </c>
      <c r="C3" s="13">
        <f>'Alphas 1998-2013'!B43*12</f>
        <v>-1.2038551654677369E-2</v>
      </c>
      <c r="D3" s="13">
        <f>'Alphas 1998-2013'!L43*12</f>
        <v>-7.2693555928314167E-4</v>
      </c>
      <c r="E3" s="13">
        <f>'Alphas 1998-2013'!V43*12</f>
        <v>-1.3469138219158034E-2</v>
      </c>
      <c r="F3" s="13">
        <f>'Sharpe+Treynor Ratio'!F4</f>
        <v>0.24533049152877265</v>
      </c>
      <c r="G3" s="13">
        <f>'Sharpe+Treynor Ratio'!F16</f>
        <v>4.3764700845063939E-2</v>
      </c>
      <c r="I3" t="str">
        <f>_xlfn.CONCAT(A3," ",B3)</f>
        <v>PGWCX 1998-2013</v>
      </c>
      <c r="J3" s="13">
        <f t="shared" ref="J3:J10" si="1">C3</f>
        <v>-1.2038551654677369E-2</v>
      </c>
      <c r="K3" s="13">
        <f t="shared" ref="K3:K10" si="2">D3</f>
        <v>-7.2693555928314167E-4</v>
      </c>
      <c r="L3" s="13">
        <f t="shared" ref="L3:L10" si="3">E3</f>
        <v>-1.3469138219158034E-2</v>
      </c>
    </row>
    <row r="4" spans="1:12" x14ac:dyDescent="0.25">
      <c r="A4" t="s">
        <v>62</v>
      </c>
      <c r="B4" s="26" t="s">
        <v>194</v>
      </c>
      <c r="C4" s="13">
        <f>'Alphas 1998-2013'!B66*12</f>
        <v>-4.0047660971744836E-3</v>
      </c>
      <c r="D4" s="13">
        <f>'Alphas 1998-2013'!L66*12</f>
        <v>-1.146609106637777E-3</v>
      </c>
      <c r="E4" s="13">
        <f>'Alphas 1998-2013'!V66*12</f>
        <v>5.2008424949697286E-4</v>
      </c>
      <c r="F4" s="13">
        <f>'Sharpe+Treynor Ratio'!F5</f>
        <v>0.30221087646259215</v>
      </c>
      <c r="G4" s="13">
        <f>'Sharpe+Treynor Ratio'!F17</f>
        <v>5.0693217346782241E-2</v>
      </c>
      <c r="I4" t="str">
        <f>_xlfn.CONCAT(A4," ",B4)</f>
        <v>SPFIX 1998-2013</v>
      </c>
      <c r="J4" s="13">
        <f t="shared" si="1"/>
        <v>-4.0047660971744836E-3</v>
      </c>
      <c r="K4" s="13">
        <f t="shared" si="2"/>
        <v>-1.146609106637777E-3</v>
      </c>
      <c r="L4" s="13">
        <f t="shared" si="3"/>
        <v>5.2008424949697286E-4</v>
      </c>
    </row>
    <row r="5" spans="1:12" x14ac:dyDescent="0.25">
      <c r="A5" t="s">
        <v>16</v>
      </c>
      <c r="B5" s="26" t="s">
        <v>195</v>
      </c>
      <c r="C5" s="13">
        <f>'Alphas 1998-2006 '!B20*12</f>
        <v>-8.7326499479351352E-4</v>
      </c>
      <c r="D5" s="13">
        <f>'Alphas 1998-2006 '!L20*12</f>
        <v>-1.2877554746822548E-2</v>
      </c>
      <c r="E5" s="13">
        <f>'Alphas 1998-2006 '!V20*12</f>
        <v>-2.1061670794083928E-2</v>
      </c>
      <c r="F5" s="13">
        <f>'Sharpe+Treynor Ratio'!F6</f>
        <v>0.23848867215224231</v>
      </c>
      <c r="G5" s="13">
        <f>'Sharpe+Treynor Ratio'!F18</f>
        <v>3.981991261475859E-2</v>
      </c>
      <c r="I5" t="str">
        <f>_xlfn.CONCAT(A5," ",B5)</f>
        <v>FGINX 1998-2006</v>
      </c>
      <c r="J5" s="13">
        <f t="shared" si="1"/>
        <v>-8.7326499479351352E-4</v>
      </c>
      <c r="K5" s="13">
        <f t="shared" si="2"/>
        <v>-1.2877554746822548E-2</v>
      </c>
      <c r="L5" s="13">
        <f t="shared" si="3"/>
        <v>-2.1061670794083928E-2</v>
      </c>
    </row>
    <row r="6" spans="1:12" x14ac:dyDescent="0.25">
      <c r="A6" t="s">
        <v>124</v>
      </c>
      <c r="B6" s="26" t="s">
        <v>195</v>
      </c>
      <c r="C6" s="13">
        <f>'Alphas 1998-2006 '!B44*12</f>
        <v>-3.0007210414504628E-2</v>
      </c>
      <c r="D6" s="13">
        <f>'Alphas 1998-2006 '!L44*12</f>
        <v>-4.705912423253287E-3</v>
      </c>
      <c r="E6" s="13">
        <f>'Alphas 1998-2006 '!V44*12</f>
        <v>-3.3785495195497048E-2</v>
      </c>
      <c r="F6" s="13">
        <f>'Sharpe+Treynor Ratio'!F7</f>
        <v>8.93075708410037E-2</v>
      </c>
      <c r="G6" s="13">
        <f>'Sharpe+Treynor Ratio'!F19</f>
        <v>1.5485335133436638E-2</v>
      </c>
      <c r="I6" t="str">
        <f>_xlfn.CONCAT(A6," ",B6)</f>
        <v>PGWCX 1998-2006</v>
      </c>
      <c r="J6" s="13">
        <f t="shared" si="1"/>
        <v>-3.0007210414504628E-2</v>
      </c>
      <c r="K6" s="13">
        <f t="shared" si="2"/>
        <v>-4.705912423253287E-3</v>
      </c>
      <c r="L6" s="13">
        <f t="shared" si="3"/>
        <v>-3.3785495195497048E-2</v>
      </c>
    </row>
    <row r="7" spans="1:12" x14ac:dyDescent="0.25">
      <c r="A7" t="s">
        <v>62</v>
      </c>
      <c r="B7" s="26" t="s">
        <v>195</v>
      </c>
      <c r="C7" s="13">
        <f>'Alphas 1998-2006 '!B68*12</f>
        <v>-2.0355384571191775E-3</v>
      </c>
      <c r="D7" s="13">
        <f>'Alphas 1998-2006 '!L68*12</f>
        <v>2.9235218547079395E-4</v>
      </c>
      <c r="E7" s="13">
        <f>'Alphas 1998-2006 '!V68*12</f>
        <v>4.5712071087256967E-3</v>
      </c>
      <c r="F7" s="13">
        <f>'Sharpe+Treynor Ratio'!F8</f>
        <v>0.2359976684700939</v>
      </c>
      <c r="G7" s="13">
        <f>'Sharpe+Treynor Ratio'!F20</f>
        <v>3.8608599396051879E-2</v>
      </c>
      <c r="I7" t="str">
        <f>_xlfn.CONCAT(A7," ",B7)</f>
        <v>SPFIX 1998-2006</v>
      </c>
      <c r="J7" s="13">
        <f t="shared" si="1"/>
        <v>-2.0355384571191775E-3</v>
      </c>
      <c r="K7" s="13">
        <f t="shared" si="2"/>
        <v>2.9235218547079395E-4</v>
      </c>
      <c r="L7" s="13">
        <f t="shared" si="3"/>
        <v>4.5712071087256967E-3</v>
      </c>
    </row>
    <row r="8" spans="1:12" x14ac:dyDescent="0.25">
      <c r="A8" t="s">
        <v>16</v>
      </c>
      <c r="B8" s="26" t="s">
        <v>196</v>
      </c>
      <c r="C8" s="13">
        <f>'Alphas 2007-2013'!B20*12</f>
        <v>-3.9563503406965343E-3</v>
      </c>
      <c r="D8" s="13">
        <f>'Alphas 2007-2013'!L20*12</f>
        <v>-6.6587541305239582E-3</v>
      </c>
      <c r="E8" s="13">
        <f>'Alphas 2007-2013'!V20*12</f>
        <v>-6.7124527154093123E-3</v>
      </c>
      <c r="F8" s="13">
        <f>'Sharpe+Treynor Ratio'!F9</f>
        <v>0.3953216935227003</v>
      </c>
      <c r="G8" s="13">
        <f>'Sharpe+Treynor Ratio'!F21</f>
        <v>6.9258842171454005E-2</v>
      </c>
      <c r="I8" t="str">
        <f>_xlfn.CONCAT(A8," ",B8)</f>
        <v>FGINX 2007-2013</v>
      </c>
      <c r="J8" s="13">
        <f t="shared" si="1"/>
        <v>-3.9563503406965343E-3</v>
      </c>
      <c r="K8" s="13">
        <f t="shared" si="2"/>
        <v>-6.6587541305239582E-3</v>
      </c>
      <c r="L8" s="13">
        <f t="shared" si="3"/>
        <v>-6.7124527154093123E-3</v>
      </c>
    </row>
    <row r="9" spans="1:12" x14ac:dyDescent="0.25">
      <c r="A9" t="s">
        <v>124</v>
      </c>
      <c r="B9" s="26" t="s">
        <v>197</v>
      </c>
      <c r="C9" s="13">
        <f>'Alphas 2007-2013'!B44*12</f>
        <v>1.4126598678176398E-2</v>
      </c>
      <c r="D9" s="13">
        <f>'Alphas 2007-2013'!L44*12</f>
        <v>-1.5032619051922932E-3</v>
      </c>
      <c r="E9" s="13">
        <f>'Alphas 2007-2013'!V44*12</f>
        <v>-1.4263140285599375E-3</v>
      </c>
      <c r="F9" s="13">
        <f>'Sharpe+Treynor Ratio'!F10</f>
        <v>0.4824629408843279</v>
      </c>
      <c r="G9" s="13">
        <f>'Sharpe+Treynor Ratio'!F22</f>
        <v>8.7807971302882412E-2</v>
      </c>
      <c r="I9" t="str">
        <f>_xlfn.CONCAT(A9," ",B9)</f>
        <v xml:space="preserve">PGWCX 2007-2013 </v>
      </c>
      <c r="J9" s="13">
        <f t="shared" si="1"/>
        <v>1.4126598678176398E-2</v>
      </c>
      <c r="K9" s="13">
        <f t="shared" si="2"/>
        <v>-1.5032619051922932E-3</v>
      </c>
      <c r="L9" s="13">
        <f t="shared" si="3"/>
        <v>-1.4263140285599375E-3</v>
      </c>
    </row>
    <row r="10" spans="1:12" x14ac:dyDescent="0.25">
      <c r="A10" t="s">
        <v>62</v>
      </c>
      <c r="B10" s="26" t="s">
        <v>196</v>
      </c>
      <c r="C10" s="13">
        <f>'Alphas 2007-2013'!B68*12</f>
        <v>-7.1194599228119604E-3</v>
      </c>
      <c r="D10" s="13">
        <f>'Alphas 2007-2013'!L68*12</f>
        <v>-4.4627240100289286E-3</v>
      </c>
      <c r="E10" s="13">
        <f>'Alphas 2007-2013'!V68*12</f>
        <v>-4.4595080868103472E-3</v>
      </c>
      <c r="F10" s="13">
        <f>'Sharpe+Treynor Ratio'!F11</f>
        <v>0.37808780963343303</v>
      </c>
      <c r="G10" s="13">
        <f>'Sharpe+Treynor Ratio'!F23</f>
        <v>6.5729718247822574E-2</v>
      </c>
      <c r="I10" t="str">
        <f>_xlfn.CONCAT(A10," ",B10)</f>
        <v>SPFIX 2007-2013</v>
      </c>
      <c r="J10" s="13">
        <f t="shared" si="1"/>
        <v>-7.1194599228119604E-3</v>
      </c>
      <c r="K10" s="13">
        <f t="shared" si="2"/>
        <v>-4.4627240100289286E-3</v>
      </c>
      <c r="L10" s="13">
        <f t="shared" si="3"/>
        <v>-4.4595080868103472E-3</v>
      </c>
    </row>
  </sheetData>
  <sortState xmlns:xlrd2="http://schemas.microsoft.com/office/spreadsheetml/2017/richdata2" ref="I2:L10">
    <sortCondition ref="I2:I10"/>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D6048-5357-485A-AE34-A86A1464B664}">
  <dimension ref="A1:J33"/>
  <sheetViews>
    <sheetView zoomScale="93" zoomScaleNormal="93" workbookViewId="0">
      <selection activeCell="B3" sqref="B3"/>
    </sheetView>
  </sheetViews>
  <sheetFormatPr defaultColWidth="9" defaultRowHeight="15" x14ac:dyDescent="0.25"/>
  <cols>
    <col min="1" max="1" width="8.42578125" style="18" customWidth="1"/>
    <col min="2" max="4" width="9.140625" style="18" bestFit="1" customWidth="1"/>
    <col min="5" max="5" width="12" style="18" bestFit="1" customWidth="1"/>
    <col min="6" max="6" width="9" style="18" customWidth="1"/>
    <col min="7" max="11" width="9" style="18"/>
    <col min="12" max="12" width="11.28515625" style="18" bestFit="1" customWidth="1"/>
    <col min="13" max="13" width="13.28515625" style="18" bestFit="1" customWidth="1"/>
    <col min="14" max="14" width="9" style="18"/>
    <col min="15" max="15" width="11.28515625" style="18" bestFit="1" customWidth="1"/>
    <col min="16" max="17" width="13.7109375" style="18" bestFit="1" customWidth="1"/>
    <col min="18" max="19" width="9" style="18"/>
    <col min="20" max="20" width="12.42578125" style="18" bestFit="1" customWidth="1"/>
    <col min="21" max="21" width="14.7109375" style="18" bestFit="1" customWidth="1"/>
    <col min="22" max="22" width="12.7109375" style="18" bestFit="1" customWidth="1"/>
    <col min="23" max="16384" width="9" style="18"/>
  </cols>
  <sheetData>
    <row r="1" spans="1:10" x14ac:dyDescent="0.25">
      <c r="A1" s="19" t="s">
        <v>4</v>
      </c>
      <c r="B1" s="20" t="s">
        <v>148</v>
      </c>
      <c r="C1" s="18" t="s">
        <v>149</v>
      </c>
      <c r="D1" s="18" t="s">
        <v>150</v>
      </c>
      <c r="E1" s="18" t="s">
        <v>151</v>
      </c>
      <c r="F1" s="25" t="s">
        <v>184</v>
      </c>
      <c r="G1" s="25" t="s">
        <v>151</v>
      </c>
      <c r="H1" s="25" t="s">
        <v>185</v>
      </c>
    </row>
    <row r="2" spans="1:10" x14ac:dyDescent="0.25">
      <c r="A2" s="19" t="s">
        <v>152</v>
      </c>
      <c r="B2" s="19">
        <v>1.6E-2</v>
      </c>
      <c r="C2" s="18">
        <v>250.42</v>
      </c>
      <c r="D2" s="18">
        <v>15115823</v>
      </c>
      <c r="E2" s="18">
        <f>C2*D2</f>
        <v>3785304395.6599998</v>
      </c>
      <c r="F2" s="18">
        <f>MATCH(E2/1000000,
{10.3,18.7,27.5,40.1,55.8,80.6,120.4,200.9,350.2,1029.9},
1)</f>
        <v>10</v>
      </c>
      <c r="G2" s="18" t="str">
        <f>IF(F2&gt;6,"Big","Small")</f>
        <v>Big</v>
      </c>
      <c r="H2" s="18">
        <f>MATCH(B2, {0,0.064,0.11,0.142,0.183,0.218,0.258,0.292,0.349,0.398,0.461,0.508,0.56,0.622,0.684,0.756,0.822,0.927,1.11,1.413,6.553}, 1)</f>
        <v>1</v>
      </c>
      <c r="I2" s="18" t="str">
        <f>IF(H2&lt;10,"Growth","Value")</f>
        <v>Growth</v>
      </c>
      <c r="J2" s="18" t="str">
        <f>G2&amp;" "&amp;I2</f>
        <v>Big Growth</v>
      </c>
    </row>
    <row r="3" spans="1:10" x14ac:dyDescent="0.25">
      <c r="A3" s="19" t="s">
        <v>153</v>
      </c>
      <c r="B3" s="19">
        <v>1.7999999999999999E-2</v>
      </c>
      <c r="C3" s="18">
        <v>772</v>
      </c>
      <c r="D3" s="18">
        <v>949316</v>
      </c>
      <c r="E3" s="18">
        <f t="shared" ref="E3:E33" si="0">C3*D3</f>
        <v>732871952</v>
      </c>
      <c r="F3" s="18">
        <f>MATCH(E3/1000000,
{10.3,18.7,27.5,40.1,55.8,80.6,120.4,200.9,350.2,1029.9},
1)</f>
        <v>9</v>
      </c>
      <c r="G3" s="18" t="str">
        <f t="shared" ref="G3:G33" si="1">IF(F3&gt;6,"Big","Small")</f>
        <v>Big</v>
      </c>
      <c r="H3" s="18">
        <f>MATCH(B3, {0,0.064,0.11,0.142,0.183,0.218,0.258,0.292,0.349,0.398,0.461,0.508,0.56,0.622,0.684,0.756,0.822,0.927,1.11,1.413,6.553}, 1)</f>
        <v>1</v>
      </c>
      <c r="I3" s="18" t="str">
        <f t="shared" ref="I3:I33" si="2">IF(H3&lt;10,"Growth","Value")</f>
        <v>Growth</v>
      </c>
      <c r="J3" s="18" t="str">
        <f t="shared" ref="J3:J33" si="3">G3&amp;" "&amp;I3</f>
        <v>Big Growth</v>
      </c>
    </row>
    <row r="4" spans="1:10" x14ac:dyDescent="0.25">
      <c r="A4" s="19" t="s">
        <v>154</v>
      </c>
      <c r="B4" s="19">
        <v>0.02</v>
      </c>
      <c r="C4" s="18">
        <v>134.28998999999999</v>
      </c>
      <c r="D4" s="18">
        <v>24490000</v>
      </c>
      <c r="E4" s="18">
        <f t="shared" si="0"/>
        <v>3288761855.0999999</v>
      </c>
      <c r="F4" s="18">
        <f>MATCH(E4/1000000,
{10.3,18.7,27.5,40.1,55.8,80.6,120.4,200.9,350.2,1029.9},
1)</f>
        <v>10</v>
      </c>
      <c r="G4" s="18" t="str">
        <f t="shared" si="1"/>
        <v>Big</v>
      </c>
      <c r="H4" s="18">
        <f>MATCH(B4, {0,0.064,0.11,0.142,0.183,0.218,0.258,0.292,0.349,0.398,0.461,0.508,0.56,0.622,0.684,0.756,0.822,0.927,1.11,1.413,6.553}, 1)</f>
        <v>1</v>
      </c>
      <c r="I4" s="18" t="str">
        <f t="shared" si="2"/>
        <v>Growth</v>
      </c>
      <c r="J4" s="18" t="str">
        <f t="shared" si="3"/>
        <v>Big Growth</v>
      </c>
    </row>
    <row r="5" spans="1:10" x14ac:dyDescent="0.25">
      <c r="A5" s="24" t="s">
        <v>155</v>
      </c>
      <c r="B5" s="19">
        <v>4.4999999999999998E-2</v>
      </c>
      <c r="C5" s="18">
        <v>4968.4199200000003</v>
      </c>
      <c r="D5" s="18">
        <v>33097</v>
      </c>
      <c r="E5" s="18">
        <f t="shared" si="0"/>
        <v>164439794.09224001</v>
      </c>
      <c r="F5" s="18">
        <f>MATCH(E5/1000000,
{10.3,18.7,27.5,40.1,55.8,80.6,120.4,200.9,350.2,1029.9},
1)</f>
        <v>7</v>
      </c>
      <c r="G5" s="18" t="str">
        <f t="shared" si="1"/>
        <v>Big</v>
      </c>
      <c r="H5" s="18">
        <f>MATCH(B5, {0,0.064,0.11,0.142,0.183,0.218,0.258,0.292,0.349,0.398,0.461,0.508,0.56,0.622,0.684,0.756,0.822,0.927,1.11,1.413,6.553}, 1)</f>
        <v>1</v>
      </c>
      <c r="I5" s="18" t="str">
        <f t="shared" si="2"/>
        <v>Growth</v>
      </c>
      <c r="J5" s="18" t="str">
        <f t="shared" si="3"/>
        <v>Big Growth</v>
      </c>
    </row>
    <row r="6" spans="1:10" x14ac:dyDescent="0.25">
      <c r="A6" s="19" t="s">
        <v>156</v>
      </c>
      <c r="B6" s="19">
        <v>6.6000000000000003E-2</v>
      </c>
      <c r="C6" s="18">
        <v>120.81</v>
      </c>
      <c r="D6" s="18">
        <v>1124158</v>
      </c>
      <c r="E6" s="18">
        <f t="shared" si="0"/>
        <v>135809527.97999999</v>
      </c>
      <c r="F6" s="18">
        <f>MATCH(E6/1000000,
{10.3,18.7,27.5,40.1,55.8,80.6,120.4,200.9,350.2,1029.9},
1)</f>
        <v>7</v>
      </c>
      <c r="G6" s="18" t="str">
        <f t="shared" si="1"/>
        <v>Big</v>
      </c>
      <c r="H6" s="18">
        <f>MATCH(B6, {0,0.064,0.11,0.142,0.183,0.218,0.258,0.292,0.349,0.398,0.461,0.508,0.56,0.622,0.684,0.756,0.822,0.927,1.11,1.413,6.553}, 1)</f>
        <v>2</v>
      </c>
      <c r="I6" s="18" t="str">
        <f t="shared" si="2"/>
        <v>Growth</v>
      </c>
      <c r="J6" s="18" t="str">
        <f t="shared" si="3"/>
        <v>Big Growth</v>
      </c>
    </row>
    <row r="7" spans="1:10" x14ac:dyDescent="0.25">
      <c r="A7" s="19" t="s">
        <v>157</v>
      </c>
      <c r="B7" s="19">
        <v>7.4999999999999997E-2</v>
      </c>
      <c r="C7" s="18">
        <v>891.32001000000002</v>
      </c>
      <c r="D7" s="18">
        <v>427458</v>
      </c>
      <c r="E7" s="18">
        <f t="shared" si="0"/>
        <v>381001868.83458</v>
      </c>
      <c r="F7" s="18">
        <f>MATCH(E7/1000000,
{10.3,18.7,27.5,40.1,55.8,80.6,120.4,200.9,350.2,1029.9},
1)</f>
        <v>9</v>
      </c>
      <c r="G7" s="18" t="str">
        <f t="shared" si="1"/>
        <v>Big</v>
      </c>
      <c r="H7" s="18">
        <f>MATCH(B7, {0,0.064,0.11,0.142,0.183,0.218,0.258,0.292,0.349,0.398,0.461,0.508,0.56,0.622,0.684,0.756,0.822,0.927,1.11,1.413,6.553}, 1)</f>
        <v>2</v>
      </c>
      <c r="I7" s="18" t="str">
        <f t="shared" si="2"/>
        <v>Growth</v>
      </c>
      <c r="J7" s="18" t="str">
        <f t="shared" si="3"/>
        <v>Big Growth</v>
      </c>
    </row>
    <row r="8" spans="1:10" x14ac:dyDescent="0.25">
      <c r="A8" s="19" t="s">
        <v>158</v>
      </c>
      <c r="B8" s="19">
        <v>0.08</v>
      </c>
      <c r="C8" s="18">
        <v>316.04001</v>
      </c>
      <c r="D8" s="18">
        <v>1729399</v>
      </c>
      <c r="E8" s="18">
        <f t="shared" si="0"/>
        <v>546559277.25398993</v>
      </c>
      <c r="F8" s="18">
        <f>MATCH(E8/1000000,
{10.3,18.7,27.5,40.1,55.8,80.6,120.4,200.9,350.2,1029.9},
1)</f>
        <v>9</v>
      </c>
      <c r="G8" s="18" t="str">
        <f t="shared" si="1"/>
        <v>Big</v>
      </c>
      <c r="H8" s="18">
        <f>MATCH(B8, {0,0.064,0.11,0.142,0.183,0.218,0.258,0.292,0.349,0.398,0.461,0.508,0.56,0.622,0.684,0.756,0.822,0.927,1.11,1.413,6.553}, 1)</f>
        <v>2</v>
      </c>
      <c r="I8" s="18" t="str">
        <f t="shared" si="2"/>
        <v>Growth</v>
      </c>
      <c r="J8" s="18" t="str">
        <f t="shared" si="3"/>
        <v>Big Growth</v>
      </c>
    </row>
    <row r="9" spans="1:10" x14ac:dyDescent="0.25">
      <c r="A9" s="19" t="s">
        <v>159</v>
      </c>
      <c r="B9" s="19">
        <v>8.3000000000000004E-2</v>
      </c>
      <c r="C9" s="18">
        <v>403.84</v>
      </c>
      <c r="D9" s="18">
        <v>3210060</v>
      </c>
      <c r="E9" s="18">
        <f t="shared" si="0"/>
        <v>1296350630.3999999</v>
      </c>
      <c r="F9" s="18">
        <f>MATCH(E9/1000000,
{10.3,18.7,27.5,40.1,55.8,80.6,120.4,200.9,350.2,1029.9},
1)</f>
        <v>10</v>
      </c>
      <c r="G9" s="18" t="str">
        <f t="shared" si="1"/>
        <v>Big</v>
      </c>
      <c r="H9" s="18">
        <f>MATCH(B9, {0,0.064,0.11,0.142,0.183,0.218,0.258,0.292,0.349,0.398,0.461,0.508,0.56,0.622,0.684,0.756,0.822,0.927,1.11,1.413,6.553}, 1)</f>
        <v>2</v>
      </c>
      <c r="I9" s="18" t="str">
        <f t="shared" si="2"/>
        <v>Growth</v>
      </c>
      <c r="J9" s="18" t="str">
        <f t="shared" si="3"/>
        <v>Big Growth</v>
      </c>
    </row>
    <row r="10" spans="1:10" x14ac:dyDescent="0.25">
      <c r="A10" s="19" t="s">
        <v>160</v>
      </c>
      <c r="B10" s="19">
        <v>9.0999999999999998E-2</v>
      </c>
      <c r="C10" s="18">
        <v>231.84</v>
      </c>
      <c r="D10" s="18">
        <v>4686000</v>
      </c>
      <c r="E10" s="18">
        <f t="shared" si="0"/>
        <v>1086402240</v>
      </c>
      <c r="F10" s="18">
        <f>MATCH(E10/1000000,
{10.3,18.7,27.5,40.1,55.8,80.6,120.4,200.9,350.2,1029.9},
1)</f>
        <v>10</v>
      </c>
      <c r="G10" s="18" t="str">
        <f t="shared" si="1"/>
        <v>Big</v>
      </c>
      <c r="H10" s="18">
        <f>MATCH(B10, {0,0.064,0.11,0.142,0.183,0.218,0.258,0.292,0.349,0.398,0.461,0.508,0.56,0.622,0.684,0.756,0.822,0.927,1.11,1.413,6.553}, 1)</f>
        <v>2</v>
      </c>
      <c r="I10" s="18" t="str">
        <f t="shared" si="2"/>
        <v>Growth</v>
      </c>
      <c r="J10" s="18" t="str">
        <f t="shared" si="3"/>
        <v>Big Growth</v>
      </c>
    </row>
    <row r="11" spans="1:10" x14ac:dyDescent="0.25">
      <c r="A11" s="19" t="s">
        <v>161</v>
      </c>
      <c r="B11" s="19">
        <v>9.0999999999999998E-2</v>
      </c>
      <c r="C11" s="18">
        <v>421.5</v>
      </c>
      <c r="D11" s="18">
        <v>7434881</v>
      </c>
      <c r="E11" s="18">
        <f t="shared" si="0"/>
        <v>3133802341.5</v>
      </c>
      <c r="F11" s="18">
        <f>MATCH(E11/1000000,
{10.3,18.7,27.5,40.1,55.8,80.6,120.4,200.9,350.2,1029.9},
1)</f>
        <v>10</v>
      </c>
      <c r="G11" s="18" t="str">
        <f t="shared" si="1"/>
        <v>Big</v>
      </c>
      <c r="H11" s="18">
        <f>MATCH(B11, {0,0.064,0.11,0.142,0.183,0.218,0.258,0.292,0.349,0.398,0.461,0.508,0.56,0.622,0.684,0.756,0.822,0.927,1.11,1.413,6.553}, 1)</f>
        <v>2</v>
      </c>
      <c r="I11" s="18" t="str">
        <f t="shared" si="2"/>
        <v>Growth</v>
      </c>
      <c r="J11" s="18" t="str">
        <f t="shared" si="3"/>
        <v>Big Growth</v>
      </c>
    </row>
    <row r="12" spans="1:10" x14ac:dyDescent="0.25">
      <c r="A12" s="19" t="s">
        <v>162</v>
      </c>
      <c r="B12" s="19">
        <v>9.1999999999999998E-2</v>
      </c>
      <c r="C12" s="18">
        <v>166.78998999999999</v>
      </c>
      <c r="D12" s="18">
        <v>1082294</v>
      </c>
      <c r="E12" s="18">
        <f t="shared" si="0"/>
        <v>180515805.43706</v>
      </c>
      <c r="F12" s="18">
        <f>MATCH(E12/1000000,
{10.3,18.7,27.5,40.1,55.8,80.6,120.4,200.9,350.2,1029.9},
1)</f>
        <v>7</v>
      </c>
      <c r="G12" s="18" t="str">
        <f t="shared" si="1"/>
        <v>Big</v>
      </c>
      <c r="H12" s="18">
        <f>MATCH(B12, {0,0.064,0.11,0.142,0.183,0.218,0.258,0.292,0.349,0.398,0.461,0.508,0.56,0.622,0.684,0.756,0.822,0.927,1.11,1.413,6.553}, 1)</f>
        <v>2</v>
      </c>
      <c r="I12" s="18" t="str">
        <f t="shared" si="2"/>
        <v>Growth</v>
      </c>
      <c r="J12" s="18" t="str">
        <f t="shared" si="3"/>
        <v>Big Growth</v>
      </c>
    </row>
    <row r="13" spans="1:10" x14ac:dyDescent="0.25">
      <c r="A13" s="19" t="s">
        <v>163</v>
      </c>
      <c r="B13" s="19">
        <v>0.114</v>
      </c>
      <c r="C13" s="18">
        <v>585.51000999999997</v>
      </c>
      <c r="D13" s="18">
        <v>2180001</v>
      </c>
      <c r="E13" s="18">
        <f t="shared" si="0"/>
        <v>1276412407.31001</v>
      </c>
      <c r="F13" s="18">
        <f>MATCH(E13/1000000,
{10.3,18.7,27.5,40.1,55.8,80.6,120.4,200.9,350.2,1029.9},
1)</f>
        <v>10</v>
      </c>
      <c r="G13" s="18" t="str">
        <f t="shared" si="1"/>
        <v>Big</v>
      </c>
      <c r="H13" s="18">
        <f>MATCH(B13, {0,0.064,0.11,0.142,0.183,0.218,0.258,0.292,0.349,0.398,0.461,0.508,0.56,0.622,0.684,0.756,0.822,0.927,1.11,1.413,6.553}, 1)</f>
        <v>3</v>
      </c>
      <c r="I13" s="18" t="str">
        <f t="shared" si="2"/>
        <v>Growth</v>
      </c>
      <c r="J13" s="18" t="str">
        <f t="shared" si="3"/>
        <v>Big Growth</v>
      </c>
    </row>
    <row r="14" spans="1:10" x14ac:dyDescent="0.25">
      <c r="A14" s="19" t="s">
        <v>164</v>
      </c>
      <c r="B14" s="19">
        <v>0.13200000000000001</v>
      </c>
      <c r="C14" s="18">
        <v>219.39</v>
      </c>
      <c r="D14" s="18">
        <v>10515011</v>
      </c>
      <c r="E14" s="18">
        <f t="shared" si="0"/>
        <v>2306888263.29</v>
      </c>
      <c r="F14" s="18">
        <f>MATCH(E14/1000000,
{10.3,18.7,27.5,40.1,55.8,80.6,120.4,200.9,350.2,1029.9},
1)</f>
        <v>10</v>
      </c>
      <c r="G14" s="18" t="str">
        <f t="shared" si="1"/>
        <v>Big</v>
      </c>
      <c r="H14" s="18">
        <f>MATCH(B14, {0,0.064,0.11,0.142,0.183,0.218,0.258,0.292,0.349,0.398,0.461,0.508,0.56,0.622,0.684,0.756,0.822,0.927,1.11,1.413,6.553}, 1)</f>
        <v>3</v>
      </c>
      <c r="I14" s="18" t="str">
        <f t="shared" si="2"/>
        <v>Growth</v>
      </c>
      <c r="J14" s="18" t="str">
        <f t="shared" si="3"/>
        <v>Big Growth</v>
      </c>
    </row>
    <row r="15" spans="1:10" x14ac:dyDescent="0.25">
      <c r="A15" s="19" t="s">
        <v>165</v>
      </c>
      <c r="B15" s="19">
        <v>0.14699999999999999</v>
      </c>
      <c r="C15" s="18">
        <v>328.92998999999998</v>
      </c>
      <c r="D15" s="18">
        <v>275653</v>
      </c>
      <c r="E15" s="18">
        <f>C15*D15</f>
        <v>90670538.53346999</v>
      </c>
      <c r="F15" s="18">
        <f>MATCH(E15/1000000,
{10.3,18.7,27.5,40.1,55.8,80.6,120.4,200.9,350.2,1029.9},
1)</f>
        <v>6</v>
      </c>
      <c r="G15" s="18" t="str">
        <f t="shared" si="1"/>
        <v>Small</v>
      </c>
      <c r="H15" s="18">
        <f>MATCH(B15, {0,0.064,0.11,0.142,0.183,0.218,0.258,0.292,0.349,0.398,0.461,0.508,0.56,0.622,0.684,0.756,0.822,0.927,1.11,1.413,6.553}, 1)</f>
        <v>4</v>
      </c>
      <c r="I15" s="18" t="str">
        <f t="shared" si="2"/>
        <v>Growth</v>
      </c>
      <c r="J15" s="18" t="str">
        <f t="shared" si="3"/>
        <v>Small Growth</v>
      </c>
    </row>
    <row r="16" spans="1:10" x14ac:dyDescent="0.25">
      <c r="A16" s="19" t="s">
        <v>166</v>
      </c>
      <c r="B16" s="19">
        <v>0.154</v>
      </c>
      <c r="C16" s="18">
        <v>189.3</v>
      </c>
      <c r="D16" s="18">
        <v>5843000</v>
      </c>
      <c r="E16" s="18">
        <f t="shared" si="0"/>
        <v>1106079900</v>
      </c>
      <c r="F16" s="18">
        <f>MATCH(E16/1000000,
{10.3,18.7,27.5,40.1,55.8,80.6,120.4,200.9,350.2,1029.9},
1)</f>
        <v>10</v>
      </c>
      <c r="G16" s="18" t="str">
        <f t="shared" si="1"/>
        <v>Big</v>
      </c>
      <c r="H16" s="18">
        <f>MATCH(B16, {0,0.064,0.11,0.142,0.183,0.218,0.258,0.292,0.349,0.398,0.461,0.508,0.56,0.622,0.684,0.756,0.822,0.927,1.11,1.413,6.553}, 1)</f>
        <v>4</v>
      </c>
      <c r="I16" s="18" t="str">
        <f t="shared" si="2"/>
        <v>Growth</v>
      </c>
      <c r="J16" s="18" t="str">
        <f t="shared" si="3"/>
        <v>Big Growth</v>
      </c>
    </row>
    <row r="17" spans="1:10" x14ac:dyDescent="0.25">
      <c r="A17" s="19" t="s">
        <v>167</v>
      </c>
      <c r="B17" s="19">
        <v>0.16700000000000001</v>
      </c>
      <c r="C17" s="18">
        <v>56.56</v>
      </c>
      <c r="D17" s="18">
        <v>2028177</v>
      </c>
      <c r="E17" s="18">
        <f t="shared" si="0"/>
        <v>114713691.12</v>
      </c>
      <c r="F17" s="18">
        <f>MATCH(E17/1000000,
{10.3,18.7,27.5,40.1,55.8,80.6,120.4,200.9,350.2,1029.9},
1)</f>
        <v>6</v>
      </c>
      <c r="G17" s="18" t="str">
        <f t="shared" si="1"/>
        <v>Small</v>
      </c>
      <c r="H17" s="18">
        <f>MATCH(B17, {0,0.064,0.11,0.142,0.183,0.218,0.258,0.292,0.349,0.398,0.461,0.508,0.56,0.622,0.684,0.756,0.822,0.927,1.11,1.413,6.553}, 1)</f>
        <v>4</v>
      </c>
      <c r="I17" s="18" t="str">
        <f t="shared" si="2"/>
        <v>Growth</v>
      </c>
      <c r="J17" s="18" t="str">
        <f t="shared" si="3"/>
        <v>Small Growth</v>
      </c>
    </row>
    <row r="18" spans="1:10" x14ac:dyDescent="0.25">
      <c r="A18" s="19" t="s">
        <v>168</v>
      </c>
      <c r="B18" s="19">
        <v>0.184</v>
      </c>
      <c r="C18" s="18">
        <v>92.37</v>
      </c>
      <c r="D18" s="18">
        <v>1246266</v>
      </c>
      <c r="E18" s="18">
        <f t="shared" si="0"/>
        <v>115117590.42</v>
      </c>
      <c r="F18" s="18">
        <f>MATCH(E18/1000000,
{10.3,18.7,27.5,40.1,55.8,80.6,120.4,200.9,350.2,1029.9},
1)</f>
        <v>6</v>
      </c>
      <c r="G18" s="18" t="str">
        <f t="shared" si="1"/>
        <v>Small</v>
      </c>
      <c r="H18" s="18">
        <f>MATCH(B18, {0,0.064,0.11,0.142,0.183,0.218,0.258,0.292,0.349,0.398,0.461,0.508,0.56,0.622,0.684,0.756,0.822,0.927,1.11,1.413,6.553}, 1)</f>
        <v>5</v>
      </c>
      <c r="I18" s="18" t="str">
        <f t="shared" si="2"/>
        <v>Growth</v>
      </c>
      <c r="J18" s="18" t="str">
        <f t="shared" si="3"/>
        <v>Small Growth</v>
      </c>
    </row>
    <row r="19" spans="1:10" x14ac:dyDescent="0.25">
      <c r="A19" s="19" t="s">
        <v>169</v>
      </c>
      <c r="B19" s="19">
        <v>0.20799999999999999</v>
      </c>
      <c r="C19" s="18">
        <v>59.2</v>
      </c>
      <c r="D19" s="18">
        <v>3982758</v>
      </c>
      <c r="E19" s="18">
        <f t="shared" si="0"/>
        <v>235779273.60000002</v>
      </c>
      <c r="F19" s="18">
        <f>MATCH(E19/1000000,
{10.3,18.7,27.5,40.1,55.8,80.6,120.4,200.9,350.2,1029.9},
1)</f>
        <v>8</v>
      </c>
      <c r="G19" s="18" t="str">
        <f t="shared" si="1"/>
        <v>Big</v>
      </c>
      <c r="H19" s="18">
        <f>MATCH(B19, {0,0.064,0.11,0.142,0.183,0.218,0.258,0.292,0.349,0.398,0.461,0.508,0.56,0.622,0.684,0.756,0.822,0.927,1.11,1.413,6.553}, 1)</f>
        <v>5</v>
      </c>
      <c r="I19" s="18" t="str">
        <f t="shared" si="2"/>
        <v>Growth</v>
      </c>
      <c r="J19" s="18" t="str">
        <f t="shared" si="3"/>
        <v>Big Growth</v>
      </c>
    </row>
    <row r="20" spans="1:10" x14ac:dyDescent="0.25">
      <c r="A20" s="19" t="s">
        <v>170</v>
      </c>
      <c r="B20" s="19">
        <v>0.504</v>
      </c>
      <c r="C20" s="18">
        <v>276.14001000000002</v>
      </c>
      <c r="D20" s="18">
        <v>278153</v>
      </c>
      <c r="E20" s="18">
        <f t="shared" si="0"/>
        <v>76809172.20153001</v>
      </c>
      <c r="F20" s="18">
        <f>MATCH(E20/1000000,
{10.3,18.7,27.5,40.1,55.8,80.6,120.4,200.9,350.2,1029.9},
1)</f>
        <v>5</v>
      </c>
      <c r="G20" s="18" t="str">
        <f t="shared" si="1"/>
        <v>Small</v>
      </c>
      <c r="H20" s="18">
        <f>MATCH(B20, {0,0.064,0.11,0.142,0.183,0.218,0.258,0.292,0.349,0.398,0.461,0.508,0.56,0.622,0.684,0.756,0.822,0.927,1.11,1.413,6.553}, 1)</f>
        <v>11</v>
      </c>
      <c r="I20" s="18" t="str">
        <f t="shared" si="2"/>
        <v>Value</v>
      </c>
      <c r="J20" s="18" t="str">
        <f t="shared" si="3"/>
        <v>Small Value</v>
      </c>
    </row>
    <row r="21" spans="1:10" x14ac:dyDescent="0.25">
      <c r="A21" s="19" t="s">
        <v>171</v>
      </c>
      <c r="B21" s="19">
        <v>0.54600000000000004</v>
      </c>
      <c r="C21" s="18">
        <v>239.71001000000001</v>
      </c>
      <c r="D21" s="18">
        <v>2815340</v>
      </c>
      <c r="E21" s="18">
        <f t="shared" si="0"/>
        <v>674865179.55340004</v>
      </c>
      <c r="F21" s="18">
        <f>MATCH(E21/1000000,
{10.3,18.7,27.5,40.1,55.8,80.6,120.4,200.9,350.2,1029.9},
1)</f>
        <v>9</v>
      </c>
      <c r="G21" s="18" t="str">
        <f t="shared" si="1"/>
        <v>Big</v>
      </c>
      <c r="H21" s="18">
        <f>MATCH(B21, {0,0.064,0.11,0.142,0.183,0.218,0.258,0.292,0.349,0.398,0.461,0.508,0.56,0.622,0.684,0.756,0.822,0.927,1.11,1.413,6.553}, 1)</f>
        <v>12</v>
      </c>
      <c r="I21" s="18" t="str">
        <f t="shared" si="2"/>
        <v>Value</v>
      </c>
      <c r="J21" s="18" t="str">
        <f t="shared" si="3"/>
        <v>Big Value</v>
      </c>
    </row>
    <row r="22" spans="1:10" x14ac:dyDescent="0.25">
      <c r="A22" s="19" t="s">
        <v>172</v>
      </c>
      <c r="B22" s="19">
        <v>0.6</v>
      </c>
      <c r="C22" s="18">
        <v>107.57</v>
      </c>
      <c r="D22" s="18">
        <v>4395095</v>
      </c>
      <c r="E22" s="18">
        <f t="shared" si="0"/>
        <v>472780369.14999998</v>
      </c>
      <c r="F22" s="18">
        <f>MATCH(E22/1000000,
{10.3,18.7,27.5,40.1,55.8,80.6,120.4,200.9,350.2,1029.9},
1)</f>
        <v>9</v>
      </c>
      <c r="G22" s="18" t="str">
        <f t="shared" si="1"/>
        <v>Big</v>
      </c>
      <c r="H22" s="18">
        <f>MATCH(B22, {0,0.064,0.11,0.142,0.183,0.218,0.258,0.292,0.349,0.398,0.461,0.508,0.56,0.622,0.684,0.756,0.822,0.927,1.11,1.413,6.553}, 1)</f>
        <v>13</v>
      </c>
      <c r="I22" s="18" t="str">
        <f t="shared" si="2"/>
        <v>Value</v>
      </c>
      <c r="J22" s="18" t="str">
        <f t="shared" si="3"/>
        <v>Big Value</v>
      </c>
    </row>
    <row r="23" spans="1:10" x14ac:dyDescent="0.25">
      <c r="A23" s="19" t="s">
        <v>173</v>
      </c>
      <c r="B23" s="19">
        <v>0.63400000000000001</v>
      </c>
      <c r="C23" s="18">
        <v>508.55</v>
      </c>
      <c r="D23" s="21">
        <v>2160000</v>
      </c>
      <c r="E23" s="18">
        <f t="shared" si="0"/>
        <v>1098468000</v>
      </c>
      <c r="F23" s="18">
        <f>MATCH(E23/1000000,
{10.3,18.7,27.5,40.1,55.8,80.6,120.4,200.9,350.2,1029.9},
1)</f>
        <v>10</v>
      </c>
      <c r="G23" s="18" t="str">
        <f t="shared" si="1"/>
        <v>Big</v>
      </c>
      <c r="H23" s="18">
        <f>MATCH(B23, {0,0.064,0.11,0.142,0.183,0.218,0.258,0.292,0.349,0.398,0.461,0.508,0.56,0.622,0.684,0.756,0.822,0.927,1.11,1.413,6.553}, 1)</f>
        <v>14</v>
      </c>
      <c r="I23" s="18" t="str">
        <f t="shared" si="2"/>
        <v>Value</v>
      </c>
      <c r="J23" s="18" t="str">
        <f t="shared" si="3"/>
        <v>Big Value</v>
      </c>
    </row>
    <row r="24" spans="1:10" x14ac:dyDescent="0.25">
      <c r="A24" s="19" t="s">
        <v>174</v>
      </c>
      <c r="B24" s="19">
        <v>0.67400000000000004</v>
      </c>
      <c r="C24" s="18">
        <v>192.85001</v>
      </c>
      <c r="D24" s="18">
        <v>396783</v>
      </c>
      <c r="E24" s="18">
        <f t="shared" si="0"/>
        <v>76519605.517829999</v>
      </c>
      <c r="F24" s="18">
        <f>MATCH(E24/1000000,
{10.3,18.7,27.5,40.1,55.8,80.6,120.4,200.9,350.2,1029.9},
1)</f>
        <v>5</v>
      </c>
      <c r="G24" s="18" t="str">
        <f t="shared" si="1"/>
        <v>Small</v>
      </c>
      <c r="H24" s="18">
        <f>MATCH(B24, {0,0.064,0.11,0.142,0.183,0.218,0.258,0.292,0.349,0.398,0.461,0.508,0.56,0.622,0.684,0.756,0.822,0.927,1.11,1.413,6.553}, 1)</f>
        <v>14</v>
      </c>
      <c r="I24" s="18" t="str">
        <f t="shared" si="2"/>
        <v>Value</v>
      </c>
      <c r="J24" s="18" t="str">
        <f t="shared" si="3"/>
        <v>Small Value</v>
      </c>
    </row>
    <row r="25" spans="1:10" x14ac:dyDescent="0.25">
      <c r="A25" s="19" t="s">
        <v>175</v>
      </c>
      <c r="B25" s="19">
        <v>0.752</v>
      </c>
      <c r="C25" s="18">
        <v>39.99</v>
      </c>
      <c r="D25" s="18">
        <v>4209626</v>
      </c>
      <c r="E25" s="18">
        <f t="shared" si="0"/>
        <v>168342943.74000001</v>
      </c>
      <c r="F25" s="18">
        <f>MATCH(E25/1000000,
{10.3,18.7,27.5,40.1,55.8,80.6,120.4,200.9,350.2,1029.9},
1)</f>
        <v>7</v>
      </c>
      <c r="G25" s="18" t="str">
        <f t="shared" si="1"/>
        <v>Big</v>
      </c>
      <c r="H25" s="18">
        <f>MATCH(B25, {0,0.064,0.11,0.142,0.183,0.218,0.258,0.292,0.349,0.398,0.461,0.508,0.56,0.622,0.684,0.756,0.822,0.927,1.11,1.413,6.553}, 1)</f>
        <v>15</v>
      </c>
      <c r="I25" s="18" t="str">
        <f t="shared" si="2"/>
        <v>Value</v>
      </c>
      <c r="J25" s="18" t="str">
        <f t="shared" si="3"/>
        <v>Big Value</v>
      </c>
    </row>
    <row r="26" spans="1:10" x14ac:dyDescent="0.25">
      <c r="A26" s="19" t="s">
        <v>176</v>
      </c>
      <c r="B26" s="19">
        <v>0.871</v>
      </c>
      <c r="C26" s="18">
        <v>70.239999999999995</v>
      </c>
      <c r="D26" s="18">
        <v>3329491</v>
      </c>
      <c r="E26" s="18">
        <f t="shared" si="0"/>
        <v>233863447.83999997</v>
      </c>
      <c r="F26" s="18">
        <f>MATCH(E26/1000000,
{10.3,18.7,27.5,40.1,55.8,80.6,120.4,200.9,350.2,1029.9},
1)</f>
        <v>8</v>
      </c>
      <c r="G26" s="18" t="str">
        <f t="shared" si="1"/>
        <v>Big</v>
      </c>
      <c r="H26" s="18">
        <f>MATCH(B26, {0,0.064,0.11,0.142,0.183,0.218,0.258,0.292,0.349,0.398,0.461,0.508,0.56,0.622,0.684,0.756,0.822,0.927,1.11,1.413,6.553}, 1)</f>
        <v>17</v>
      </c>
      <c r="I26" s="18" t="str">
        <f t="shared" si="2"/>
        <v>Value</v>
      </c>
      <c r="J26" s="18" t="str">
        <f t="shared" si="3"/>
        <v>Big Value</v>
      </c>
    </row>
    <row r="27" spans="1:10" x14ac:dyDescent="0.25">
      <c r="A27" s="19" t="s">
        <v>177</v>
      </c>
      <c r="B27" s="19">
        <v>0.99299999999999999</v>
      </c>
      <c r="C27" s="18">
        <v>44.89</v>
      </c>
      <c r="D27" s="18">
        <v>1258408</v>
      </c>
      <c r="E27" s="18">
        <f t="shared" si="0"/>
        <v>56489935.119999997</v>
      </c>
      <c r="F27" s="18">
        <f>MATCH(E27/1000000,
{10.3,18.7,27.5,40.1,55.8,80.6,120.4,200.9,350.2,1029.9},
1)</f>
        <v>5</v>
      </c>
      <c r="G27" s="18" t="str">
        <f t="shared" si="1"/>
        <v>Small</v>
      </c>
      <c r="H27" s="18">
        <f>MATCH(B27, {0,0.064,0.11,0.142,0.183,0.218,0.258,0.292,0.349,0.398,0.461,0.508,0.56,0.622,0.684,0.756,0.822,0.927,1.11,1.413,6.553}, 1)</f>
        <v>18</v>
      </c>
      <c r="I27" s="18" t="str">
        <f t="shared" si="2"/>
        <v>Value</v>
      </c>
      <c r="J27" s="18" t="str">
        <f t="shared" si="3"/>
        <v>Small Value</v>
      </c>
    </row>
    <row r="28" spans="1:10" x14ac:dyDescent="0.25">
      <c r="A28" s="19" t="s">
        <v>178</v>
      </c>
      <c r="B28" s="19">
        <v>1.6279999999999999</v>
      </c>
      <c r="C28" s="18">
        <v>70.39</v>
      </c>
      <c r="D28" s="18">
        <v>1891265</v>
      </c>
      <c r="E28" s="18">
        <f t="shared" si="0"/>
        <v>133126143.34999999</v>
      </c>
      <c r="F28" s="18">
        <f>MATCH(E28/1000000,
{10.3,18.7,27.5,40.1,55.8,80.6,120.4,200.9,350.2,1029.9},
1)</f>
        <v>7</v>
      </c>
      <c r="G28" s="18" t="str">
        <f t="shared" si="1"/>
        <v>Big</v>
      </c>
      <c r="H28" s="18">
        <f>MATCH(B28, {0,0.064,0.11,0.142,0.183,0.218,0.258,0.292,0.349,0.398,0.461,0.508,0.56,0.622,0.684,0.756,0.822,0.927,1.11,1.413,6.553}, 1)</f>
        <v>20</v>
      </c>
      <c r="I28" s="18" t="str">
        <f t="shared" si="2"/>
        <v>Value</v>
      </c>
      <c r="J28" s="18" t="str">
        <f t="shared" si="3"/>
        <v>Big Value</v>
      </c>
    </row>
    <row r="29" spans="1:10" x14ac:dyDescent="0.25">
      <c r="A29" s="19" t="s">
        <v>179</v>
      </c>
      <c r="B29" s="18">
        <v>8.9999999999999993E-3</v>
      </c>
      <c r="C29" s="18">
        <v>1990.9300499999999</v>
      </c>
      <c r="D29" s="18">
        <v>24348</v>
      </c>
      <c r="E29" s="18">
        <f t="shared" si="0"/>
        <v>48475164.8574</v>
      </c>
      <c r="F29" s="18">
        <f>MATCH(E29/1000000,
{10.3,18.7,27.5,40.1,55.8,80.6,120.4,200.9,350.2,1029.9},
1)</f>
        <v>4</v>
      </c>
      <c r="G29" s="18" t="str">
        <f t="shared" si="1"/>
        <v>Small</v>
      </c>
      <c r="H29" s="18">
        <f>MATCH(B29, {0,0.064,0.11,0.142,0.183,0.218,0.258,0.292,0.349,0.398,0.461,0.508,0.56,0.622,0.684,0.756,0.822,0.927,1.11,1.413,6.553}, 1)</f>
        <v>1</v>
      </c>
      <c r="I29" s="18" t="str">
        <f t="shared" si="2"/>
        <v>Growth</v>
      </c>
      <c r="J29" s="18" t="str">
        <f t="shared" si="3"/>
        <v>Small Growth</v>
      </c>
    </row>
    <row r="30" spans="1:10" x14ac:dyDescent="0.25">
      <c r="A30" s="19" t="s">
        <v>180</v>
      </c>
      <c r="B30" s="18">
        <v>8.8999999999999996E-2</v>
      </c>
      <c r="C30" s="18">
        <v>521.96001999999999</v>
      </c>
      <c r="D30" s="18">
        <v>356179</v>
      </c>
      <c r="E30" s="18">
        <f t="shared" si="0"/>
        <v>185911197.96357998</v>
      </c>
      <c r="F30" s="18">
        <f>MATCH(E30/1000000,
{10.3,18.7,27.5,40.1,55.8,80.6,120.4,200.9,350.2,1029.9},
1)</f>
        <v>7</v>
      </c>
      <c r="G30" s="18" t="str">
        <f t="shared" si="1"/>
        <v>Big</v>
      </c>
      <c r="H30" s="18">
        <f>MATCH(B30, {0,0.064,0.11,0.142,0.183,0.218,0.258,0.292,0.349,0.398,0.461,0.508,0.56,0.622,0.684,0.756,0.822,0.927,1.11,1.413,6.553}, 1)</f>
        <v>2</v>
      </c>
      <c r="I30" s="18" t="str">
        <f t="shared" si="2"/>
        <v>Growth</v>
      </c>
      <c r="J30" s="18" t="str">
        <f t="shared" si="3"/>
        <v>Big Growth</v>
      </c>
    </row>
    <row r="31" spans="1:10" x14ac:dyDescent="0.25">
      <c r="A31" s="19" t="s">
        <v>181</v>
      </c>
      <c r="B31" s="18">
        <v>0.33500000000000002</v>
      </c>
      <c r="C31" s="18">
        <v>569.90997000000004</v>
      </c>
      <c r="D31" s="18">
        <v>126940</v>
      </c>
      <c r="E31" s="18">
        <f t="shared" si="0"/>
        <v>72344371.591800004</v>
      </c>
      <c r="F31" s="18">
        <f>MATCH(E31/1000000,
{10.3,18.7,27.5,40.1,55.8,80.6,120.4,200.9,350.2,1029.9},
1)</f>
        <v>5</v>
      </c>
      <c r="G31" s="18" t="str">
        <f t="shared" si="1"/>
        <v>Small</v>
      </c>
      <c r="H31" s="18">
        <f>MATCH(B31, {0,0.064,0.11,0.142,0.183,0.218,0.258,0.292,0.349,0.398,0.461,0.508,0.56,0.622,0.684,0.756,0.822,0.927,1.11,1.413,6.553}, 1)</f>
        <v>8</v>
      </c>
      <c r="I31" s="18" t="str">
        <f t="shared" si="2"/>
        <v>Growth</v>
      </c>
      <c r="J31" s="18" t="str">
        <f t="shared" si="3"/>
        <v>Small Growth</v>
      </c>
    </row>
    <row r="32" spans="1:10" x14ac:dyDescent="0.25">
      <c r="A32" s="19" t="s">
        <v>182</v>
      </c>
      <c r="B32" s="18">
        <v>1.6E-2</v>
      </c>
      <c r="C32" s="18">
        <v>120.35</v>
      </c>
      <c r="D32" s="18">
        <v>1554833</v>
      </c>
      <c r="E32" s="18">
        <f t="shared" si="0"/>
        <v>187124151.54999998</v>
      </c>
      <c r="F32" s="18">
        <f>MATCH(E32/1000000,
{10.3,18.7,27.5,40.1,55.8,80.6,120.4,200.9,350.2,1029.9},
1)</f>
        <v>7</v>
      </c>
      <c r="G32" s="18" t="str">
        <f t="shared" si="1"/>
        <v>Big</v>
      </c>
      <c r="H32" s="18">
        <f>MATCH(B32, {0,0.064,0.11,0.142,0.183,0.218,0.258,0.292,0.349,0.398,0.461,0.508,0.56,0.622,0.684,0.756,0.822,0.927,1.11,1.413,6.553}, 1)</f>
        <v>1</v>
      </c>
      <c r="I32" s="18" t="str">
        <f t="shared" si="2"/>
        <v>Growth</v>
      </c>
      <c r="J32" s="18" t="str">
        <f t="shared" si="3"/>
        <v>Big Growth</v>
      </c>
    </row>
    <row r="33" spans="1:10" x14ac:dyDescent="0.25">
      <c r="A33" s="19" t="s">
        <v>183</v>
      </c>
      <c r="B33" s="19">
        <v>0.14000000000000001</v>
      </c>
      <c r="C33" s="18">
        <v>230.69</v>
      </c>
      <c r="D33" s="18">
        <v>268875</v>
      </c>
      <c r="E33" s="18">
        <f t="shared" si="0"/>
        <v>62026773.75</v>
      </c>
      <c r="F33" s="18">
        <f>MATCH(E33/1000000,
{10.3,18.7,27.5,40.1,55.8,80.6,120.4,200.9,350.2,1029.9},
1)</f>
        <v>5</v>
      </c>
      <c r="G33" s="18" t="str">
        <f t="shared" si="1"/>
        <v>Small</v>
      </c>
      <c r="H33" s="18">
        <f>MATCH(B33, {0,0.064,0.11,0.142,0.183,0.218,0.258,0.292,0.349,0.398,0.461,0.508,0.56,0.622,0.684,0.756,0.822,0.927,1.11,1.413,6.553}, 1)</f>
        <v>3</v>
      </c>
      <c r="I33" s="18" t="str">
        <f t="shared" si="2"/>
        <v>Growth</v>
      </c>
      <c r="J33" s="18" t="str">
        <f t="shared" si="3"/>
        <v>Small Growth</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D9E9A-464E-4DC4-8736-849A2D7B48CF}">
  <dimension ref="A1:J55"/>
  <sheetViews>
    <sheetView workbookViewId="0">
      <selection activeCell="D35" sqref="D35"/>
    </sheetView>
  </sheetViews>
  <sheetFormatPr defaultRowHeight="15" x14ac:dyDescent="0.25"/>
  <cols>
    <col min="5" max="5" width="11.5703125" bestFit="1" customWidth="1"/>
    <col min="6" max="6" width="13.7109375" bestFit="1" customWidth="1"/>
    <col min="14" max="14" width="11.5703125" bestFit="1" customWidth="1"/>
    <col min="15" max="15" width="13.7109375" bestFit="1" customWidth="1"/>
    <col min="20" max="20" width="11.5703125" bestFit="1" customWidth="1"/>
    <col min="21" max="21" width="13.7109375" bestFit="1" customWidth="1"/>
  </cols>
  <sheetData>
    <row r="1" spans="1:10" x14ac:dyDescent="0.25">
      <c r="A1" s="11" t="s">
        <v>16</v>
      </c>
      <c r="B1" s="18"/>
      <c r="C1" s="18"/>
      <c r="D1" s="18"/>
      <c r="E1" s="18"/>
      <c r="F1" s="18"/>
      <c r="G1" s="18"/>
      <c r="I1" t="s">
        <v>190</v>
      </c>
      <c r="J1" t="s">
        <v>191</v>
      </c>
    </row>
    <row r="2" spans="1:10" x14ac:dyDescent="0.25">
      <c r="A2" s="18" t="s">
        <v>24</v>
      </c>
      <c r="B2" s="18" t="s">
        <v>4</v>
      </c>
      <c r="C2" s="23" t="str">
        <f>VLOOKUP(B2,'Stock Data'!$A$1:$E$33,2,FALSE)</f>
        <v>BM</v>
      </c>
      <c r="D2" s="23" t="str">
        <f>VLOOKUP($B2,'Stock Data'!$A$1:$E$33,3,FALSE)</f>
        <v>PRC</v>
      </c>
      <c r="E2" s="23" t="str">
        <f>VLOOKUP($B2,'Stock Data'!$A$1:$E$33,4,FALSE)</f>
        <v>SHROUT</v>
      </c>
      <c r="F2" s="23" t="str">
        <f>VLOOKUP($B2,'Stock Data'!$A$1:$E$33,5,FALSE)</f>
        <v>Size</v>
      </c>
      <c r="G2" s="23"/>
      <c r="H2" s="26"/>
      <c r="I2" t="s">
        <v>186</v>
      </c>
      <c r="J2">
        <f>SUMIFS($F$3:$F$17,$G$3:$G$17,"Big Growth")</f>
        <v>1999565154.5322499</v>
      </c>
    </row>
    <row r="3" spans="1:10" x14ac:dyDescent="0.25">
      <c r="A3" s="18" t="s">
        <v>25</v>
      </c>
      <c r="B3" s="18" t="s">
        <v>169</v>
      </c>
      <c r="C3" s="23">
        <f>VLOOKUP(B3,'Stock Data'!$A$1:$E$33,2,FALSE)</f>
        <v>0.20799999999999999</v>
      </c>
      <c r="D3" s="23">
        <f>VLOOKUP($B3,'Stock Data'!$A$1:$E$33,3,FALSE)</f>
        <v>59.2</v>
      </c>
      <c r="E3" s="23">
        <f>VLOOKUP($B3,'Stock Data'!$A$1:$E$33,4,FALSE)</f>
        <v>3982758</v>
      </c>
      <c r="F3" s="23">
        <f>VLOOKUP($B3,'Stock Data'!$A$1:$E$33,5,FALSE)</f>
        <v>235779273.60000002</v>
      </c>
      <c r="G3" s="23" t="str">
        <f>VLOOKUP($B3,'Stock Data'!$A$1:$J$33,10,FALSE)</f>
        <v>Big Growth</v>
      </c>
      <c r="H3" s="26"/>
      <c r="I3" t="s">
        <v>187</v>
      </c>
      <c r="J3">
        <f>SUMIFS($F$3:$F$17,$G$3:$G$17,"Big Value")</f>
        <v>1008112904.0799999</v>
      </c>
    </row>
    <row r="4" spans="1:10" x14ac:dyDescent="0.25">
      <c r="A4" s="18" t="s">
        <v>26</v>
      </c>
      <c r="B4" s="18" t="s">
        <v>172</v>
      </c>
      <c r="C4" s="23">
        <f>VLOOKUP(B4,'Stock Data'!$A$1:$E$33,2,FALSE)</f>
        <v>0.6</v>
      </c>
      <c r="D4" s="23">
        <f>VLOOKUP($B4,'Stock Data'!$A$1:$E$33,3,FALSE)</f>
        <v>107.57</v>
      </c>
      <c r="E4" s="23">
        <f>VLOOKUP($B4,'Stock Data'!$A$1:$E$33,4,FALSE)</f>
        <v>4395095</v>
      </c>
      <c r="F4" s="23">
        <f>VLOOKUP($B4,'Stock Data'!$A$1:$E$33,5,FALSE)</f>
        <v>472780369.14999998</v>
      </c>
      <c r="G4" s="23" t="str">
        <f>VLOOKUP($B4,'Stock Data'!$A$1:$J$33,10,FALSE)</f>
        <v>Big Value</v>
      </c>
      <c r="H4" s="26"/>
      <c r="I4" t="s">
        <v>188</v>
      </c>
      <c r="J4">
        <f>SUMIFS($F$3:$F$17,$G$3:$G$17,"Small Growth")</f>
        <v>302175653.1318</v>
      </c>
    </row>
    <row r="5" spans="1:10" x14ac:dyDescent="0.25">
      <c r="A5" s="18" t="s">
        <v>27</v>
      </c>
      <c r="B5" s="18" t="s">
        <v>182</v>
      </c>
      <c r="C5" s="23">
        <f>VLOOKUP(B5,'Stock Data'!$A$1:$E$33,2,FALSE)</f>
        <v>1.6E-2</v>
      </c>
      <c r="D5" s="23">
        <f>VLOOKUP($B5,'Stock Data'!$A$1:$E$33,3,FALSE)</f>
        <v>120.35</v>
      </c>
      <c r="E5" s="23">
        <f>VLOOKUP($B5,'Stock Data'!$A$1:$E$33,4,FALSE)</f>
        <v>1554833</v>
      </c>
      <c r="F5" s="23">
        <f>VLOOKUP($B5,'Stock Data'!$A$1:$E$33,5,FALSE)</f>
        <v>187124151.54999998</v>
      </c>
      <c r="G5" s="23" t="str">
        <f>VLOOKUP($B5,'Stock Data'!$A$1:$J$33,10,FALSE)</f>
        <v>Big Growth</v>
      </c>
      <c r="H5" s="26"/>
      <c r="I5" t="s">
        <v>189</v>
      </c>
      <c r="J5">
        <f>SUMIFS($F$3:$F$17,$G$3:$G$17,"Small Value")</f>
        <v>209818712.83936</v>
      </c>
    </row>
    <row r="6" spans="1:10" x14ac:dyDescent="0.25">
      <c r="A6" s="18" t="s">
        <v>28</v>
      </c>
      <c r="B6" s="18" t="s">
        <v>178</v>
      </c>
      <c r="C6" s="23">
        <f>VLOOKUP(B6,'Stock Data'!$A$1:$E$33,2,FALSE)</f>
        <v>1.6279999999999999</v>
      </c>
      <c r="D6" s="23">
        <f>VLOOKUP($B6,'Stock Data'!$A$1:$E$33,3,FALSE)</f>
        <v>70.39</v>
      </c>
      <c r="E6" s="23">
        <f>VLOOKUP($B6,'Stock Data'!$A$1:$E$33,4,FALSE)</f>
        <v>1891265</v>
      </c>
      <c r="F6" s="23">
        <f>VLOOKUP($B6,'Stock Data'!$A$1:$E$33,5,FALSE)</f>
        <v>133126143.34999999</v>
      </c>
      <c r="G6" s="23" t="str">
        <f>VLOOKUP($B6,'Stock Data'!$A$1:$J$33,10,FALSE)</f>
        <v>Big Value</v>
      </c>
      <c r="H6" s="26"/>
    </row>
    <row r="7" spans="1:10" x14ac:dyDescent="0.25">
      <c r="A7" s="18" t="s">
        <v>29</v>
      </c>
      <c r="B7" s="18" t="s">
        <v>168</v>
      </c>
      <c r="C7" s="23">
        <f>VLOOKUP(B7,'Stock Data'!$A$1:$E$33,2,FALSE)</f>
        <v>0.184</v>
      </c>
      <c r="D7" s="23">
        <f>VLOOKUP($B7,'Stock Data'!$A$1:$E$33,3,FALSE)</f>
        <v>92.37</v>
      </c>
      <c r="E7" s="23">
        <f>VLOOKUP($B7,'Stock Data'!$A$1:$E$33,4,FALSE)</f>
        <v>1246266</v>
      </c>
      <c r="F7" s="23">
        <f>VLOOKUP($B7,'Stock Data'!$A$1:$E$33,5,FALSE)</f>
        <v>115117590.42</v>
      </c>
      <c r="G7" s="23" t="str">
        <f>VLOOKUP($B7,'Stock Data'!$A$1:$J$33,10,FALSE)</f>
        <v>Small Growth</v>
      </c>
      <c r="H7" s="26"/>
    </row>
    <row r="8" spans="1:10" x14ac:dyDescent="0.25">
      <c r="A8" s="18" t="s">
        <v>30</v>
      </c>
      <c r="B8" s="18" t="s">
        <v>177</v>
      </c>
      <c r="C8" s="23">
        <f>VLOOKUP(B8,'Stock Data'!$A$1:$E$33,2,FALSE)</f>
        <v>0.99299999999999999</v>
      </c>
      <c r="D8" s="23">
        <f>VLOOKUP($B8,'Stock Data'!$A$1:$E$33,3,FALSE)</f>
        <v>44.89</v>
      </c>
      <c r="E8" s="23">
        <f>VLOOKUP($B8,'Stock Data'!$A$1:$E$33,4,FALSE)</f>
        <v>1258408</v>
      </c>
      <c r="F8" s="23">
        <f>VLOOKUP($B8,'Stock Data'!$A$1:$E$33,5,FALSE)</f>
        <v>56489935.119999997</v>
      </c>
      <c r="G8" s="23" t="str">
        <f>VLOOKUP($B8,'Stock Data'!$A$1:$J$33,10,FALSE)</f>
        <v>Small Value</v>
      </c>
      <c r="H8" s="26"/>
      <c r="I8" t="s">
        <v>192</v>
      </c>
      <c r="J8" t="s">
        <v>191</v>
      </c>
    </row>
    <row r="9" spans="1:10" x14ac:dyDescent="0.25">
      <c r="A9" s="18" t="s">
        <v>31</v>
      </c>
      <c r="B9" s="18" t="s">
        <v>170</v>
      </c>
      <c r="C9" s="23">
        <f>VLOOKUP(B9,'Stock Data'!$A$1:$E$33,2,FALSE)</f>
        <v>0.504</v>
      </c>
      <c r="D9" s="23">
        <f>VLOOKUP($B9,'Stock Data'!$A$1:$E$33,3,FALSE)</f>
        <v>276.14001000000002</v>
      </c>
      <c r="E9" s="23">
        <f>VLOOKUP($B9,'Stock Data'!$A$1:$E$33,4,FALSE)</f>
        <v>278153</v>
      </c>
      <c r="F9" s="23">
        <f>VLOOKUP($B9,'Stock Data'!$A$1:$E$33,5,FALSE)</f>
        <v>76809172.20153001</v>
      </c>
      <c r="G9" s="23" t="str">
        <f>VLOOKUP($B9,'Stock Data'!$A$1:$J$33,10,FALSE)</f>
        <v>Small Value</v>
      </c>
      <c r="H9" s="26"/>
      <c r="I9" t="s">
        <v>186</v>
      </c>
      <c r="J9">
        <f>SUMIFS($F$22:$F$36,$G$22:$G$36,"Big Growth")</f>
        <v>18010511504.34922</v>
      </c>
    </row>
    <row r="10" spans="1:10" x14ac:dyDescent="0.25">
      <c r="A10" s="18" t="s">
        <v>32</v>
      </c>
      <c r="B10" s="18" t="s">
        <v>181</v>
      </c>
      <c r="C10" s="23">
        <f>VLOOKUP(B10,'Stock Data'!$A$1:$E$33,2,FALSE)</f>
        <v>0.33500000000000002</v>
      </c>
      <c r="D10" s="23">
        <f>VLOOKUP($B10,'Stock Data'!$A$1:$E$33,3,FALSE)</f>
        <v>569.90997000000004</v>
      </c>
      <c r="E10" s="23">
        <f>VLOOKUP($B10,'Stock Data'!$A$1:$E$33,4,FALSE)</f>
        <v>126940</v>
      </c>
      <c r="F10" s="23">
        <f>VLOOKUP($B10,'Stock Data'!$A$1:$E$33,5,FALSE)</f>
        <v>72344371.591800004</v>
      </c>
      <c r="G10" s="23" t="str">
        <f>VLOOKUP($B10,'Stock Data'!$A$1:$J$33,10,FALSE)</f>
        <v>Small Growth</v>
      </c>
      <c r="H10" s="26"/>
      <c r="I10" t="s">
        <v>187</v>
      </c>
      <c r="J10">
        <f>SUMIFS($F$22:$F$36,$G$22:$G$36,"Big Value")</f>
        <v>0</v>
      </c>
    </row>
    <row r="11" spans="1:10" x14ac:dyDescent="0.25">
      <c r="A11" s="18" t="s">
        <v>33</v>
      </c>
      <c r="B11" s="18" t="s">
        <v>155</v>
      </c>
      <c r="C11" s="23">
        <f>VLOOKUP(B11,'Stock Data'!$A$1:$E$33,2,FALSE)</f>
        <v>4.4999999999999998E-2</v>
      </c>
      <c r="D11" s="23">
        <f>VLOOKUP($B11,'Stock Data'!$A$1:$E$33,3,FALSE)</f>
        <v>4968.4199200000003</v>
      </c>
      <c r="E11" s="23">
        <f>VLOOKUP($B11,'Stock Data'!$A$1:$E$33,4,FALSE)</f>
        <v>33097</v>
      </c>
      <c r="F11" s="23">
        <f>VLOOKUP($B11,'Stock Data'!$A$1:$E$33,5,FALSE)</f>
        <v>164439794.09224001</v>
      </c>
      <c r="G11" s="23" t="str">
        <f>VLOOKUP($B11,'Stock Data'!$A$1:$J$33,10,FALSE)</f>
        <v>Big Growth</v>
      </c>
      <c r="H11" s="26"/>
      <c r="I11" t="s">
        <v>188</v>
      </c>
      <c r="J11">
        <f>SUMIFS($F$22:$F$36,$G$22:$G$36,"Small Growth")</f>
        <v>201172477.14086998</v>
      </c>
    </row>
    <row r="12" spans="1:10" x14ac:dyDescent="0.25">
      <c r="A12" s="18" t="s">
        <v>34</v>
      </c>
      <c r="B12" s="18" t="s">
        <v>163</v>
      </c>
      <c r="C12" s="23">
        <f>VLOOKUP(B12,'Stock Data'!$A$1:$E$33,2,FALSE)</f>
        <v>0.114</v>
      </c>
      <c r="D12" s="23">
        <f>VLOOKUP($B12,'Stock Data'!$A$1:$E$33,3,FALSE)</f>
        <v>585.51000999999997</v>
      </c>
      <c r="E12" s="23">
        <f>VLOOKUP($B12,'Stock Data'!$A$1:$E$33,4,FALSE)</f>
        <v>2180001</v>
      </c>
      <c r="F12" s="23">
        <f>VLOOKUP($B12,'Stock Data'!$A$1:$E$33,5,FALSE)</f>
        <v>1276412407.31001</v>
      </c>
      <c r="G12" s="23" t="str">
        <f>VLOOKUP($B12,'Stock Data'!$A$1:$J$33,10,FALSE)</f>
        <v>Big Growth</v>
      </c>
      <c r="H12" s="26"/>
      <c r="I12" t="s">
        <v>189</v>
      </c>
      <c r="J12">
        <f>SUMIFS($F$22:$F$36,$G$22:$G$36,"Small Value")</f>
        <v>0</v>
      </c>
    </row>
    <row r="13" spans="1:10" x14ac:dyDescent="0.25">
      <c r="A13" s="18" t="s">
        <v>35</v>
      </c>
      <c r="B13" s="18" t="s">
        <v>167</v>
      </c>
      <c r="C13" s="23">
        <f>VLOOKUP(B13,'Stock Data'!$A$1:$E$33,2,FALSE)</f>
        <v>0.16700000000000001</v>
      </c>
      <c r="D13" s="23">
        <f>VLOOKUP($B13,'Stock Data'!$A$1:$E$33,3,FALSE)</f>
        <v>56.56</v>
      </c>
      <c r="E13" s="23">
        <f>VLOOKUP($B13,'Stock Data'!$A$1:$E$33,4,FALSE)</f>
        <v>2028177</v>
      </c>
      <c r="F13" s="23">
        <f>VLOOKUP($B13,'Stock Data'!$A$1:$E$33,5,FALSE)</f>
        <v>114713691.12</v>
      </c>
      <c r="G13" s="23" t="str">
        <f>VLOOKUP($B13,'Stock Data'!$A$1:$J$33,10,FALSE)</f>
        <v>Small Growth</v>
      </c>
      <c r="H13" s="26"/>
    </row>
    <row r="14" spans="1:10" x14ac:dyDescent="0.25">
      <c r="A14" s="18" t="s">
        <v>36</v>
      </c>
      <c r="B14" s="18" t="s">
        <v>176</v>
      </c>
      <c r="C14" s="23">
        <f>VLOOKUP(B14,'Stock Data'!$A$1:$E$33,2,FALSE)</f>
        <v>0.871</v>
      </c>
      <c r="D14" s="23">
        <f>VLOOKUP($B14,'Stock Data'!$A$1:$E$33,3,FALSE)</f>
        <v>70.239999999999995</v>
      </c>
      <c r="E14" s="23">
        <f>VLOOKUP($B14,'Stock Data'!$A$1:$E$33,4,FALSE)</f>
        <v>3329491</v>
      </c>
      <c r="F14" s="23">
        <f>VLOOKUP($B14,'Stock Data'!$A$1:$E$33,5,FALSE)</f>
        <v>233863447.83999997</v>
      </c>
      <c r="G14" s="23" t="str">
        <f>VLOOKUP($B14,'Stock Data'!$A$1:$J$33,10,FALSE)</f>
        <v>Big Value</v>
      </c>
      <c r="H14" s="26"/>
    </row>
    <row r="15" spans="1:10" x14ac:dyDescent="0.25">
      <c r="A15" s="18" t="s">
        <v>37</v>
      </c>
      <c r="B15" s="18" t="s">
        <v>174</v>
      </c>
      <c r="C15" s="23">
        <f>VLOOKUP(B15,'Stock Data'!$A$1:$E$33,2,FALSE)</f>
        <v>0.67400000000000004</v>
      </c>
      <c r="D15" s="23">
        <f>VLOOKUP($B15,'Stock Data'!$A$1:$E$33,3,FALSE)</f>
        <v>192.85001</v>
      </c>
      <c r="E15" s="23">
        <f>VLOOKUP($B15,'Stock Data'!$A$1:$E$33,4,FALSE)</f>
        <v>396783</v>
      </c>
      <c r="F15" s="23">
        <f>VLOOKUP($B15,'Stock Data'!$A$1:$E$33,5,FALSE)</f>
        <v>76519605.517829999</v>
      </c>
      <c r="G15" s="23" t="str">
        <f>VLOOKUP($B15,'Stock Data'!$A$1:$J$33,10,FALSE)</f>
        <v>Small Value</v>
      </c>
      <c r="H15" s="26"/>
      <c r="I15" t="s">
        <v>193</v>
      </c>
      <c r="J15" t="s">
        <v>191</v>
      </c>
    </row>
    <row r="16" spans="1:10" x14ac:dyDescent="0.25">
      <c r="A16" s="18" t="s">
        <v>38</v>
      </c>
      <c r="B16" s="18" t="s">
        <v>156</v>
      </c>
      <c r="C16" s="23">
        <f>VLOOKUP(B16,'Stock Data'!$A$1:$E$33,2,FALSE)</f>
        <v>6.6000000000000003E-2</v>
      </c>
      <c r="D16" s="23">
        <f>VLOOKUP($B16,'Stock Data'!$A$1:$E$33,3,FALSE)</f>
        <v>120.81</v>
      </c>
      <c r="E16" s="23">
        <f>VLOOKUP($B16,'Stock Data'!$A$1:$E$33,4,FALSE)</f>
        <v>1124158</v>
      </c>
      <c r="F16" s="23">
        <f>VLOOKUP($B16,'Stock Data'!$A$1:$E$33,5,FALSE)</f>
        <v>135809527.97999999</v>
      </c>
      <c r="G16" s="23" t="str">
        <f>VLOOKUP($B16,'Stock Data'!$A$1:$J$33,10,FALSE)</f>
        <v>Big Growth</v>
      </c>
      <c r="H16" s="26"/>
      <c r="I16" t="s">
        <v>186</v>
      </c>
      <c r="J16">
        <f>SUMIFS($F$41:$F$55,$G$41:$G$55,"Big Growth")</f>
        <v>20046515031.348579</v>
      </c>
    </row>
    <row r="17" spans="1:10" x14ac:dyDescent="0.25">
      <c r="A17" s="18" t="s">
        <v>39</v>
      </c>
      <c r="B17" s="18" t="s">
        <v>175</v>
      </c>
      <c r="C17" s="23">
        <f>VLOOKUP(B17,'Stock Data'!$A$1:$E$33,2,FALSE)</f>
        <v>0.752</v>
      </c>
      <c r="D17" s="23">
        <f>VLOOKUP($B17,'Stock Data'!$A$1:$E$33,3,FALSE)</f>
        <v>39.99</v>
      </c>
      <c r="E17" s="23">
        <f>VLOOKUP($B17,'Stock Data'!$A$1:$E$33,4,FALSE)</f>
        <v>4209626</v>
      </c>
      <c r="F17" s="23">
        <f>VLOOKUP($B17,'Stock Data'!$A$1:$E$33,5,FALSE)</f>
        <v>168342943.74000001</v>
      </c>
      <c r="G17" s="23" t="str">
        <f>VLOOKUP($B17,'Stock Data'!$A$1:$J$33,10,FALSE)</f>
        <v>Big Value</v>
      </c>
      <c r="H17" s="26"/>
      <c r="I17" t="s">
        <v>187</v>
      </c>
      <c r="J17">
        <f>SUMIFS($F$41:$F$55,$G$41:$G$55,"Big Value")</f>
        <v>2246113548.7034001</v>
      </c>
    </row>
    <row r="18" spans="1:10" x14ac:dyDescent="0.25">
      <c r="A18" s="18"/>
      <c r="B18" s="18"/>
      <c r="C18" s="23"/>
      <c r="D18" s="18"/>
      <c r="E18" s="18"/>
      <c r="F18" s="18"/>
      <c r="G18" s="23"/>
      <c r="I18" t="s">
        <v>188</v>
      </c>
      <c r="J18">
        <f>SUMIFS($F$41:$F$55,$G$41:$G$55,"Small Growth")</f>
        <v>0</v>
      </c>
    </row>
    <row r="19" spans="1:10" x14ac:dyDescent="0.25">
      <c r="A19" s="18"/>
      <c r="B19" s="18"/>
      <c r="C19" s="23"/>
      <c r="D19" s="18"/>
      <c r="E19" s="18"/>
      <c r="F19" s="18"/>
      <c r="G19" s="23"/>
      <c r="I19" t="s">
        <v>189</v>
      </c>
      <c r="J19">
        <f>SUMIFS($F$41:$F$55,$G$41:$G$55,"Small Value")</f>
        <v>0</v>
      </c>
    </row>
    <row r="20" spans="1:10" x14ac:dyDescent="0.25">
      <c r="A20" s="11" t="s">
        <v>124</v>
      </c>
      <c r="B20" s="18"/>
      <c r="C20" s="23"/>
      <c r="D20" s="18"/>
      <c r="E20" s="18"/>
      <c r="F20" s="18"/>
      <c r="G20" s="23"/>
    </row>
    <row r="21" spans="1:10" x14ac:dyDescent="0.25">
      <c r="A21" s="18" t="s">
        <v>24</v>
      </c>
      <c r="B21" s="18" t="s">
        <v>4</v>
      </c>
      <c r="C21" s="23" t="str">
        <f>VLOOKUP(B21,'Stock Data'!$A$1:$E$33,2,FALSE)</f>
        <v>BM</v>
      </c>
      <c r="D21" s="23" t="str">
        <f>VLOOKUP($B21,'Stock Data'!$A$1:$E$33,3,FALSE)</f>
        <v>PRC</v>
      </c>
      <c r="E21" s="23" t="str">
        <f>VLOOKUP($B21,'Stock Data'!$A$1:$E$33,4,FALSE)</f>
        <v>SHROUT</v>
      </c>
      <c r="F21" s="23" t="str">
        <f>VLOOKUP($B21,'Stock Data'!$A$1:$E$33,5,FALSE)</f>
        <v>Size</v>
      </c>
      <c r="G21" s="23"/>
    </row>
    <row r="22" spans="1:10" x14ac:dyDescent="0.25">
      <c r="A22" s="18" t="s">
        <v>47</v>
      </c>
      <c r="B22" s="18" t="s">
        <v>154</v>
      </c>
      <c r="C22" s="23">
        <f>VLOOKUP($B22,'Stock Data'!$A$1:$E$33,2,FALSE)</f>
        <v>0.02</v>
      </c>
      <c r="D22" s="23">
        <f>VLOOKUP($B22,'Stock Data'!$A$1:$E$33,3,FALSE)</f>
        <v>134.28998999999999</v>
      </c>
      <c r="E22" s="23">
        <f>VLOOKUP($B22,'Stock Data'!$A$1:$E$33,4,FALSE)</f>
        <v>24490000</v>
      </c>
      <c r="F22" s="23">
        <f>VLOOKUP($B22,'Stock Data'!$A$1:$E$33,5,FALSE)</f>
        <v>3288761855.0999999</v>
      </c>
      <c r="G22" s="23" t="str">
        <f>VLOOKUP($B22,'Stock Data'!$A$1:$J$33,10,FALSE)</f>
        <v>Big Growth</v>
      </c>
    </row>
    <row r="23" spans="1:10" x14ac:dyDescent="0.25">
      <c r="A23" s="18" t="s">
        <v>48</v>
      </c>
      <c r="B23" s="18" t="s">
        <v>161</v>
      </c>
      <c r="C23" s="23">
        <f>VLOOKUP($B23,'Stock Data'!$A$1:$E$33,2,FALSE)</f>
        <v>9.0999999999999998E-2</v>
      </c>
      <c r="D23" s="23">
        <f>VLOOKUP($B23,'Stock Data'!$A$1:$E$33,3,FALSE)</f>
        <v>421.5</v>
      </c>
      <c r="E23" s="23">
        <f>VLOOKUP($B23,'Stock Data'!$A$1:$E$33,4,FALSE)</f>
        <v>7434881</v>
      </c>
      <c r="F23" s="23">
        <f>VLOOKUP($B23,'Stock Data'!$A$1:$E$33,5,FALSE)</f>
        <v>3133802341.5</v>
      </c>
      <c r="G23" s="23" t="str">
        <f>VLOOKUP($B23,'Stock Data'!$A$1:$J$33,10,FALSE)</f>
        <v>Big Growth</v>
      </c>
    </row>
    <row r="24" spans="1:10" x14ac:dyDescent="0.25">
      <c r="A24" s="18" t="s">
        <v>49</v>
      </c>
      <c r="B24" s="18" t="s">
        <v>152</v>
      </c>
      <c r="C24" s="23">
        <f>VLOOKUP($B24,'Stock Data'!$A$1:$E$33,2,FALSE)</f>
        <v>1.6E-2</v>
      </c>
      <c r="D24" s="23">
        <f>VLOOKUP($B24,'Stock Data'!$A$1:$E$33,3,FALSE)</f>
        <v>250.42</v>
      </c>
      <c r="E24" s="23">
        <f>VLOOKUP($B24,'Stock Data'!$A$1:$E$33,4,FALSE)</f>
        <v>15115823</v>
      </c>
      <c r="F24" s="23">
        <f>VLOOKUP($B24,'Stock Data'!$A$1:$E$33,5,FALSE)</f>
        <v>3785304395.6599998</v>
      </c>
      <c r="G24" s="23" t="str">
        <f>VLOOKUP($B24,'Stock Data'!$A$1:$J$33,10,FALSE)</f>
        <v>Big Growth</v>
      </c>
    </row>
    <row r="25" spans="1:10" x14ac:dyDescent="0.25">
      <c r="A25" s="18" t="s">
        <v>50</v>
      </c>
      <c r="B25" s="18" t="s">
        <v>164</v>
      </c>
      <c r="C25" s="23">
        <f>VLOOKUP($B25,'Stock Data'!$A$1:$E$33,2,FALSE)</f>
        <v>0.13200000000000001</v>
      </c>
      <c r="D25" s="23">
        <f>VLOOKUP($B25,'Stock Data'!$A$1:$E$33,3,FALSE)</f>
        <v>219.39</v>
      </c>
      <c r="E25" s="23">
        <f>VLOOKUP($B25,'Stock Data'!$A$1:$E$33,4,FALSE)</f>
        <v>10515011</v>
      </c>
      <c r="F25" s="23">
        <f>VLOOKUP($B25,'Stock Data'!$A$1:$E$33,5,FALSE)</f>
        <v>2306888263.29</v>
      </c>
      <c r="G25" s="23" t="str">
        <f>VLOOKUP($B25,'Stock Data'!$A$1:$J$33,10,FALSE)</f>
        <v>Big Growth</v>
      </c>
    </row>
    <row r="26" spans="1:10" x14ac:dyDescent="0.25">
      <c r="A26" s="18" t="s">
        <v>34</v>
      </c>
      <c r="B26" s="18" t="s">
        <v>163</v>
      </c>
      <c r="C26" s="23">
        <f>VLOOKUP($B26,'Stock Data'!$A$1:$E$33,2,FALSE)</f>
        <v>0.114</v>
      </c>
      <c r="D26" s="23">
        <f>VLOOKUP($B26,'Stock Data'!$A$1:$E$33,3,FALSE)</f>
        <v>585.51000999999997</v>
      </c>
      <c r="E26" s="23">
        <f>VLOOKUP($B26,'Stock Data'!$A$1:$E$33,4,FALSE)</f>
        <v>2180001</v>
      </c>
      <c r="F26" s="23">
        <f>VLOOKUP($B26,'Stock Data'!$A$1:$E$33,5,FALSE)</f>
        <v>1276412407.31001</v>
      </c>
      <c r="G26" s="23" t="str">
        <f>VLOOKUP($B26,'Stock Data'!$A$1:$J$33,10,FALSE)</f>
        <v>Big Growth</v>
      </c>
    </row>
    <row r="27" spans="1:10" x14ac:dyDescent="0.25">
      <c r="A27" s="18" t="s">
        <v>51</v>
      </c>
      <c r="B27" s="18" t="s">
        <v>166</v>
      </c>
      <c r="C27" s="23">
        <f>VLOOKUP($B27,'Stock Data'!$A$1:$E$33,2,FALSE)</f>
        <v>0.154</v>
      </c>
      <c r="D27" s="23">
        <f>VLOOKUP($B27,'Stock Data'!$A$1:$E$33,3,FALSE)</f>
        <v>189.3</v>
      </c>
      <c r="E27" s="23">
        <f>VLOOKUP($B27,'Stock Data'!$A$1:$E$33,4,FALSE)</f>
        <v>5843000</v>
      </c>
      <c r="F27" s="23">
        <f>VLOOKUP($B27,'Stock Data'!$A$1:$E$33,5,FALSE)</f>
        <v>1106079900</v>
      </c>
      <c r="G27" s="23" t="str">
        <f>VLOOKUP($B27,'Stock Data'!$A$1:$J$33,10,FALSE)</f>
        <v>Big Growth</v>
      </c>
    </row>
    <row r="28" spans="1:10" x14ac:dyDescent="0.25">
      <c r="A28" s="18" t="s">
        <v>52</v>
      </c>
      <c r="B28" s="18" t="s">
        <v>183</v>
      </c>
      <c r="C28" s="23">
        <f>VLOOKUP($B28,'Stock Data'!$A$1:$E$33,2,FALSE)</f>
        <v>0.14000000000000001</v>
      </c>
      <c r="D28" s="23">
        <f>VLOOKUP($B28,'Stock Data'!$A$1:$E$33,3,FALSE)</f>
        <v>230.69</v>
      </c>
      <c r="E28" s="23">
        <f>VLOOKUP($B28,'Stock Data'!$A$1:$E$33,4,FALSE)</f>
        <v>268875</v>
      </c>
      <c r="F28" s="23">
        <f>VLOOKUP($B28,'Stock Data'!$A$1:$E$33,5,FALSE)</f>
        <v>62026773.75</v>
      </c>
      <c r="G28" s="23" t="str">
        <f>VLOOKUP($B28,'Stock Data'!$A$1:$J$33,10,FALSE)</f>
        <v>Small Growth</v>
      </c>
    </row>
    <row r="29" spans="1:10" x14ac:dyDescent="0.25">
      <c r="A29" s="18" t="s">
        <v>53</v>
      </c>
      <c r="B29" s="18" t="s">
        <v>158</v>
      </c>
      <c r="C29" s="23">
        <f>VLOOKUP($B29,'Stock Data'!$A$1:$E$33,2,FALSE)</f>
        <v>0.08</v>
      </c>
      <c r="D29" s="23">
        <f>VLOOKUP($B29,'Stock Data'!$A$1:$E$33,3,FALSE)</f>
        <v>316.04001</v>
      </c>
      <c r="E29" s="23">
        <f>VLOOKUP($B29,'Stock Data'!$A$1:$E$33,4,FALSE)</f>
        <v>1729399</v>
      </c>
      <c r="F29" s="23">
        <f>VLOOKUP($B29,'Stock Data'!$A$1:$E$33,5,FALSE)</f>
        <v>546559277.25398993</v>
      </c>
      <c r="G29" s="23" t="str">
        <f>VLOOKUP($B29,'Stock Data'!$A$1:$J$33,10,FALSE)</f>
        <v>Big Growth</v>
      </c>
    </row>
    <row r="30" spans="1:10" x14ac:dyDescent="0.25">
      <c r="A30" s="18" t="s">
        <v>54</v>
      </c>
      <c r="B30" s="18" t="s">
        <v>153</v>
      </c>
      <c r="C30" s="23">
        <f>VLOOKUP($B30,'Stock Data'!$A$1:$E$33,2,FALSE)</f>
        <v>1.7999999999999999E-2</v>
      </c>
      <c r="D30" s="23">
        <f>VLOOKUP($B30,'Stock Data'!$A$1:$E$33,3,FALSE)</f>
        <v>772</v>
      </c>
      <c r="E30" s="23">
        <f>VLOOKUP($B30,'Stock Data'!$A$1:$E$33,4,FALSE)</f>
        <v>949316</v>
      </c>
      <c r="F30" s="23">
        <f>VLOOKUP($B30,'Stock Data'!$A$1:$E$33,5,FALSE)</f>
        <v>732871952</v>
      </c>
      <c r="G30" s="23" t="str">
        <f>VLOOKUP($B30,'Stock Data'!$A$1:$J$33,10,FALSE)</f>
        <v>Big Growth</v>
      </c>
    </row>
    <row r="31" spans="1:10" x14ac:dyDescent="0.25">
      <c r="A31" s="18" t="s">
        <v>55</v>
      </c>
      <c r="B31" s="18" t="s">
        <v>160</v>
      </c>
      <c r="C31" s="23">
        <f>VLOOKUP($B31,'Stock Data'!$A$1:$E$33,2,FALSE)</f>
        <v>9.0999999999999998E-2</v>
      </c>
      <c r="D31" s="23">
        <f>VLOOKUP($B31,'Stock Data'!$A$1:$E$33,3,FALSE)</f>
        <v>231.84</v>
      </c>
      <c r="E31" s="23">
        <f>VLOOKUP($B31,'Stock Data'!$A$1:$E$33,4,FALSE)</f>
        <v>4686000</v>
      </c>
      <c r="F31" s="23">
        <f>VLOOKUP($B31,'Stock Data'!$A$1:$E$33,5,FALSE)</f>
        <v>1086402240</v>
      </c>
      <c r="G31" s="23" t="str">
        <f>VLOOKUP($B31,'Stock Data'!$A$1:$J$33,10,FALSE)</f>
        <v>Big Growth</v>
      </c>
    </row>
    <row r="32" spans="1:10" x14ac:dyDescent="0.25">
      <c r="A32" s="18" t="s">
        <v>56</v>
      </c>
      <c r="B32" s="18" t="s">
        <v>162</v>
      </c>
      <c r="C32" s="23">
        <f>VLOOKUP($B32,'Stock Data'!$A$1:$E$33,2,FALSE)</f>
        <v>9.1999999999999998E-2</v>
      </c>
      <c r="D32" s="23">
        <f>VLOOKUP($B32,'Stock Data'!$A$1:$E$33,3,FALSE)</f>
        <v>166.78998999999999</v>
      </c>
      <c r="E32" s="23">
        <f>VLOOKUP($B32,'Stock Data'!$A$1:$E$33,4,FALSE)</f>
        <v>1082294</v>
      </c>
      <c r="F32" s="23">
        <f>VLOOKUP($B32,'Stock Data'!$A$1:$E$33,5,FALSE)</f>
        <v>180515805.43706</v>
      </c>
      <c r="G32" s="23" t="str">
        <f>VLOOKUP($B32,'Stock Data'!$A$1:$J$33,10,FALSE)</f>
        <v>Big Growth</v>
      </c>
    </row>
    <row r="33" spans="1:7" x14ac:dyDescent="0.25">
      <c r="A33" s="18" t="s">
        <v>57</v>
      </c>
      <c r="B33" s="18" t="s">
        <v>157</v>
      </c>
      <c r="C33" s="23">
        <f>VLOOKUP($B33,'Stock Data'!$A$1:$E$33,2,FALSE)</f>
        <v>7.4999999999999997E-2</v>
      </c>
      <c r="D33" s="23">
        <f>VLOOKUP($B33,'Stock Data'!$A$1:$E$33,3,FALSE)</f>
        <v>891.32001000000002</v>
      </c>
      <c r="E33" s="23">
        <f>VLOOKUP($B33,'Stock Data'!$A$1:$E$33,4,FALSE)</f>
        <v>427458</v>
      </c>
      <c r="F33" s="23">
        <f>VLOOKUP($B33,'Stock Data'!$A$1:$E$33,5,FALSE)</f>
        <v>381001868.83458</v>
      </c>
      <c r="G33" s="23" t="str">
        <f>VLOOKUP($B33,'Stock Data'!$A$1:$J$33,10,FALSE)</f>
        <v>Big Growth</v>
      </c>
    </row>
    <row r="34" spans="1:7" x14ac:dyDescent="0.25">
      <c r="A34" s="18" t="s">
        <v>58</v>
      </c>
      <c r="B34" s="18" t="s">
        <v>165</v>
      </c>
      <c r="C34" s="23">
        <f>VLOOKUP($B34,'Stock Data'!$A$1:$E$33,2,FALSE)</f>
        <v>0.14699999999999999</v>
      </c>
      <c r="D34" s="23">
        <f>VLOOKUP($B34,'Stock Data'!$A$1:$E$33,3,FALSE)</f>
        <v>328.92998999999998</v>
      </c>
      <c r="E34" s="23">
        <f>VLOOKUP($B34,'Stock Data'!$A$1:$E$33,4,FALSE)</f>
        <v>275653</v>
      </c>
      <c r="F34" s="23">
        <f>VLOOKUP($B34,'Stock Data'!$A$1:$E$33,5,FALSE)</f>
        <v>90670538.53346999</v>
      </c>
      <c r="G34" s="23" t="str">
        <f>VLOOKUP($B34,'Stock Data'!$A$1:$J$33,10,FALSE)</f>
        <v>Small Growth</v>
      </c>
    </row>
    <row r="35" spans="1:7" x14ac:dyDescent="0.25">
      <c r="A35" s="18" t="s">
        <v>59</v>
      </c>
      <c r="B35" s="18" t="s">
        <v>179</v>
      </c>
      <c r="C35" s="23">
        <f>VLOOKUP($B35,'Stock Data'!$A$1:$E$33,2,FALSE)</f>
        <v>8.9999999999999993E-3</v>
      </c>
      <c r="D35" s="23">
        <f>VLOOKUP($B35,'Stock Data'!$A$1:$E$33,3,FALSE)</f>
        <v>1990.9300499999999</v>
      </c>
      <c r="E35" s="23">
        <f>VLOOKUP($B35,'Stock Data'!$A$1:$E$33,4,FALSE)</f>
        <v>24348</v>
      </c>
      <c r="F35" s="23">
        <f>VLOOKUP($B35,'Stock Data'!$A$1:$E$33,5,FALSE)</f>
        <v>48475164.8574</v>
      </c>
      <c r="G35" s="23" t="str">
        <f>VLOOKUP($B35,'Stock Data'!$A$1:$J$33,10,FALSE)</f>
        <v>Small Growth</v>
      </c>
    </row>
    <row r="36" spans="1:7" x14ac:dyDescent="0.25">
      <c r="A36" s="18" t="s">
        <v>60</v>
      </c>
      <c r="B36" s="18" t="s">
        <v>180</v>
      </c>
      <c r="C36" s="23">
        <f>VLOOKUP($B36,'Stock Data'!$A$1:$E$33,2,FALSE)</f>
        <v>8.8999999999999996E-2</v>
      </c>
      <c r="D36" s="23">
        <f>VLOOKUP($B36,'Stock Data'!$A$1:$E$33,3,FALSE)</f>
        <v>521.96001999999999</v>
      </c>
      <c r="E36" s="23">
        <f>VLOOKUP($B36,'Stock Data'!$A$1:$E$33,4,FALSE)</f>
        <v>356179</v>
      </c>
      <c r="F36" s="23">
        <f>VLOOKUP($B36,'Stock Data'!$A$1:$E$33,5,FALSE)</f>
        <v>185911197.96357998</v>
      </c>
      <c r="G36" s="23" t="str">
        <f>VLOOKUP($B36,'Stock Data'!$A$1:$J$33,10,FALSE)</f>
        <v>Big Growth</v>
      </c>
    </row>
    <row r="37" spans="1:7" x14ac:dyDescent="0.25">
      <c r="A37" s="18"/>
      <c r="B37" s="18"/>
      <c r="C37" s="23"/>
      <c r="D37" s="18"/>
      <c r="E37" s="18"/>
      <c r="F37" s="18"/>
      <c r="G37" s="18"/>
    </row>
    <row r="38" spans="1:7" x14ac:dyDescent="0.25">
      <c r="A38" s="18"/>
      <c r="B38" s="18"/>
      <c r="C38" s="23"/>
      <c r="D38" s="18"/>
      <c r="E38" s="18"/>
      <c r="F38" s="18"/>
      <c r="G38" s="18"/>
    </row>
    <row r="39" spans="1:7" x14ac:dyDescent="0.25">
      <c r="A39" s="11" t="s">
        <v>62</v>
      </c>
      <c r="B39" s="18"/>
      <c r="C39" s="23"/>
      <c r="D39" s="18"/>
      <c r="E39" s="18"/>
      <c r="F39" s="18"/>
      <c r="G39" s="18"/>
    </row>
    <row r="40" spans="1:7" x14ac:dyDescent="0.25">
      <c r="A40" s="18" t="s">
        <v>24</v>
      </c>
      <c r="B40" s="18" t="s">
        <v>4</v>
      </c>
      <c r="C40" s="23" t="str">
        <f>VLOOKUP(B40,'Stock Data'!$A$1:$E$33,2,FALSE)</f>
        <v>BM</v>
      </c>
      <c r="D40" s="23" t="str">
        <f>VLOOKUP($B40,'Stock Data'!$A$1:$E$33,3,FALSE)</f>
        <v>PRC</v>
      </c>
      <c r="E40" s="23" t="str">
        <f>VLOOKUP($B40,'Stock Data'!$A$1:$E$33,4,FALSE)</f>
        <v>SHROUT</v>
      </c>
      <c r="F40" s="23" t="str">
        <f>VLOOKUP($B40,'Stock Data'!$A$1:$E$33,5,FALSE)</f>
        <v>Size</v>
      </c>
      <c r="G40" s="18"/>
    </row>
    <row r="41" spans="1:7" x14ac:dyDescent="0.25">
      <c r="A41" s="22" t="s">
        <v>47</v>
      </c>
      <c r="B41" s="18" t="s">
        <v>154</v>
      </c>
      <c r="C41" s="23">
        <f>VLOOKUP($B41,'Stock Data'!$A$1:$E$33,2,FALSE)</f>
        <v>0.02</v>
      </c>
      <c r="D41" s="23">
        <f>VLOOKUP($B41,'Stock Data'!$A$1:$E$33,3,FALSE)</f>
        <v>134.28998999999999</v>
      </c>
      <c r="E41" s="23">
        <f>VLOOKUP($B41,'Stock Data'!$A$1:$E$33,4,FALSE)</f>
        <v>24490000</v>
      </c>
      <c r="F41" s="23">
        <f>VLOOKUP($B41,'Stock Data'!$A$1:$E$33,5,FALSE)</f>
        <v>3288761855.0999999</v>
      </c>
      <c r="G41" s="23" t="str">
        <f>VLOOKUP($B41,'Stock Data'!$A$1:$J$33,10,FALSE)</f>
        <v>Big Growth</v>
      </c>
    </row>
    <row r="42" spans="1:7" x14ac:dyDescent="0.25">
      <c r="A42" s="22" t="s">
        <v>48</v>
      </c>
      <c r="B42" s="18" t="s">
        <v>161</v>
      </c>
      <c r="C42" s="23">
        <f>VLOOKUP($B42,'Stock Data'!$A$1:$E$33,2,FALSE)</f>
        <v>9.0999999999999998E-2</v>
      </c>
      <c r="D42" s="23">
        <f>VLOOKUP($B42,'Stock Data'!$A$1:$E$33,3,FALSE)</f>
        <v>421.5</v>
      </c>
      <c r="E42" s="23">
        <f>VLOOKUP($B42,'Stock Data'!$A$1:$E$33,4,FALSE)</f>
        <v>7434881</v>
      </c>
      <c r="F42" s="23">
        <f>VLOOKUP($B42,'Stock Data'!$A$1:$E$33,5,FALSE)</f>
        <v>3133802341.5</v>
      </c>
      <c r="G42" s="23" t="str">
        <f>VLOOKUP($B42,'Stock Data'!$A$1:$J$33,10,FALSE)</f>
        <v>Big Growth</v>
      </c>
    </row>
    <row r="43" spans="1:7" x14ac:dyDescent="0.25">
      <c r="A43" s="22" t="s">
        <v>49</v>
      </c>
      <c r="B43" s="18" t="s">
        <v>152</v>
      </c>
      <c r="C43" s="23">
        <f>VLOOKUP($B43,'Stock Data'!$A$1:$E$33,2,FALSE)</f>
        <v>1.6E-2</v>
      </c>
      <c r="D43" s="23">
        <f>VLOOKUP($B43,'Stock Data'!$A$1:$E$33,3,FALSE)</f>
        <v>250.42</v>
      </c>
      <c r="E43" s="23">
        <f>VLOOKUP($B43,'Stock Data'!$A$1:$E$33,4,FALSE)</f>
        <v>15115823</v>
      </c>
      <c r="F43" s="23">
        <f>VLOOKUP($B43,'Stock Data'!$A$1:$E$33,5,FALSE)</f>
        <v>3785304395.6599998</v>
      </c>
      <c r="G43" s="23" t="str">
        <f>VLOOKUP($B43,'Stock Data'!$A$1:$J$33,10,FALSE)</f>
        <v>Big Growth</v>
      </c>
    </row>
    <row r="44" spans="1:7" x14ac:dyDescent="0.25">
      <c r="A44" s="22" t="s">
        <v>50</v>
      </c>
      <c r="B44" s="18" t="s">
        <v>164</v>
      </c>
      <c r="C44" s="23">
        <f>VLOOKUP($B44,'Stock Data'!$A$1:$E$33,2,FALSE)</f>
        <v>0.13200000000000001</v>
      </c>
      <c r="D44" s="23">
        <f>VLOOKUP($B44,'Stock Data'!$A$1:$E$33,3,FALSE)</f>
        <v>219.39</v>
      </c>
      <c r="E44" s="23">
        <f>VLOOKUP($B44,'Stock Data'!$A$1:$E$33,4,FALSE)</f>
        <v>10515011</v>
      </c>
      <c r="F44" s="23">
        <f>VLOOKUP($B44,'Stock Data'!$A$1:$E$33,5,FALSE)</f>
        <v>2306888263.29</v>
      </c>
      <c r="G44" s="23" t="str">
        <f>VLOOKUP($B44,'Stock Data'!$A$1:$J$33,10,FALSE)</f>
        <v>Big Growth</v>
      </c>
    </row>
    <row r="45" spans="1:7" x14ac:dyDescent="0.25">
      <c r="A45" s="22" t="s">
        <v>34</v>
      </c>
      <c r="B45" s="18" t="s">
        <v>163</v>
      </c>
      <c r="C45" s="23">
        <f>VLOOKUP($B45,'Stock Data'!$A$1:$E$33,2,FALSE)</f>
        <v>0.114</v>
      </c>
      <c r="D45" s="23">
        <f>VLOOKUP($B45,'Stock Data'!$A$1:$E$33,3,FALSE)</f>
        <v>585.51000999999997</v>
      </c>
      <c r="E45" s="23">
        <f>VLOOKUP($B45,'Stock Data'!$A$1:$E$33,4,FALSE)</f>
        <v>2180001</v>
      </c>
      <c r="F45" s="23">
        <f>VLOOKUP($B45,'Stock Data'!$A$1:$E$33,5,FALSE)</f>
        <v>1276412407.31001</v>
      </c>
      <c r="G45" s="23" t="str">
        <f>VLOOKUP($B45,'Stock Data'!$A$1:$J$33,10,FALSE)</f>
        <v>Big Growth</v>
      </c>
    </row>
    <row r="46" spans="1:7" x14ac:dyDescent="0.25">
      <c r="A46" s="22" t="s">
        <v>55</v>
      </c>
      <c r="B46" s="18" t="s">
        <v>160</v>
      </c>
      <c r="C46" s="23">
        <f>VLOOKUP($B46,'Stock Data'!$A$1:$E$33,2,FALSE)</f>
        <v>9.0999999999999998E-2</v>
      </c>
      <c r="D46" s="23">
        <f>VLOOKUP($B46,'Stock Data'!$A$1:$E$33,3,FALSE)</f>
        <v>231.84</v>
      </c>
      <c r="E46" s="23">
        <f>VLOOKUP($B46,'Stock Data'!$A$1:$E$33,4,FALSE)</f>
        <v>4686000</v>
      </c>
      <c r="F46" s="23">
        <f>VLOOKUP($B46,'Stock Data'!$A$1:$E$33,5,FALSE)</f>
        <v>1086402240</v>
      </c>
      <c r="G46" s="23" t="str">
        <f>VLOOKUP($B46,'Stock Data'!$A$1:$J$33,10,FALSE)</f>
        <v>Big Growth</v>
      </c>
    </row>
    <row r="47" spans="1:7" x14ac:dyDescent="0.25">
      <c r="A47" s="22" t="s">
        <v>51</v>
      </c>
      <c r="B47" s="18" t="s">
        <v>166</v>
      </c>
      <c r="C47" s="23">
        <f>VLOOKUP($B47,'Stock Data'!$A$1:$E$33,2,FALSE)</f>
        <v>0.154</v>
      </c>
      <c r="D47" s="23">
        <f>VLOOKUP($B47,'Stock Data'!$A$1:$E$33,3,FALSE)</f>
        <v>189.3</v>
      </c>
      <c r="E47" s="23">
        <f>VLOOKUP($B47,'Stock Data'!$A$1:$E$33,4,FALSE)</f>
        <v>5843000</v>
      </c>
      <c r="F47" s="23">
        <f>VLOOKUP($B47,'Stock Data'!$A$1:$E$33,5,FALSE)</f>
        <v>1106079900</v>
      </c>
      <c r="G47" s="23" t="str">
        <f>VLOOKUP($B47,'Stock Data'!$A$1:$J$33,10,FALSE)</f>
        <v>Big Growth</v>
      </c>
    </row>
    <row r="48" spans="1:7" x14ac:dyDescent="0.25">
      <c r="A48" s="22" t="s">
        <v>71</v>
      </c>
      <c r="B48" s="18" t="s">
        <v>173</v>
      </c>
      <c r="C48" s="23">
        <f>VLOOKUP($B48,'Stock Data'!$A$1:$E$33,2,FALSE)</f>
        <v>0.63400000000000001</v>
      </c>
      <c r="D48" s="23">
        <f>VLOOKUP($B48,'Stock Data'!$A$1:$E$33,3,FALSE)</f>
        <v>508.55</v>
      </c>
      <c r="E48" s="23">
        <f>VLOOKUP($B48,'Stock Data'!$A$1:$E$33,4,FALSE)</f>
        <v>2160000</v>
      </c>
      <c r="F48" s="23">
        <f>VLOOKUP($B48,'Stock Data'!$A$1:$E$33,5,FALSE)</f>
        <v>1098468000</v>
      </c>
      <c r="G48" s="23" t="str">
        <f>VLOOKUP($B48,'Stock Data'!$A$1:$J$33,10,FALSE)</f>
        <v>Big Value</v>
      </c>
    </row>
    <row r="49" spans="1:7" x14ac:dyDescent="0.25">
      <c r="A49" s="22" t="s">
        <v>72</v>
      </c>
      <c r="B49" s="18" t="s">
        <v>159</v>
      </c>
      <c r="C49" s="23">
        <f>VLOOKUP($B49,'Stock Data'!$A$1:$E$33,2,FALSE)</f>
        <v>8.3000000000000004E-2</v>
      </c>
      <c r="D49" s="23">
        <f>VLOOKUP($B49,'Stock Data'!$A$1:$E$33,3,FALSE)</f>
        <v>403.84</v>
      </c>
      <c r="E49" s="23">
        <f>VLOOKUP($B49,'Stock Data'!$A$1:$E$33,4,FALSE)</f>
        <v>3210060</v>
      </c>
      <c r="F49" s="23">
        <f>VLOOKUP($B49,'Stock Data'!$A$1:$E$33,5,FALSE)</f>
        <v>1296350630.3999999</v>
      </c>
      <c r="G49" s="23" t="str">
        <f>VLOOKUP($B49,'Stock Data'!$A$1:$J$33,10,FALSE)</f>
        <v>Big Growth</v>
      </c>
    </row>
    <row r="50" spans="1:7" x14ac:dyDescent="0.25">
      <c r="A50" s="22" t="s">
        <v>51</v>
      </c>
      <c r="B50" s="18" t="s">
        <v>166</v>
      </c>
      <c r="C50" s="23">
        <f>VLOOKUP($B50,'Stock Data'!$A$1:$E$33,2,FALSE)</f>
        <v>0.154</v>
      </c>
      <c r="D50" s="23">
        <f>VLOOKUP($B50,'Stock Data'!$A$1:$E$33,3,FALSE)</f>
        <v>189.3</v>
      </c>
      <c r="E50" s="23">
        <f>VLOOKUP($B50,'Stock Data'!$A$1:$E$33,4,FALSE)</f>
        <v>5843000</v>
      </c>
      <c r="F50" s="23">
        <f>VLOOKUP($B50,'Stock Data'!$A$1:$E$33,5,FALSE)</f>
        <v>1106079900</v>
      </c>
      <c r="G50" s="23" t="str">
        <f>VLOOKUP($B50,'Stock Data'!$A$1:$J$33,10,FALSE)</f>
        <v>Big Growth</v>
      </c>
    </row>
    <row r="51" spans="1:7" x14ac:dyDescent="0.25">
      <c r="A51" s="22" t="s">
        <v>73</v>
      </c>
      <c r="B51" s="18" t="s">
        <v>171</v>
      </c>
      <c r="C51" s="23">
        <f>VLOOKUP($B51,'Stock Data'!$A$1:$E$33,2,FALSE)</f>
        <v>0.54600000000000004</v>
      </c>
      <c r="D51" s="23">
        <f>VLOOKUP($B51,'Stock Data'!$A$1:$E$33,3,FALSE)</f>
        <v>239.71001000000001</v>
      </c>
      <c r="E51" s="23">
        <f>VLOOKUP($B51,'Stock Data'!$A$1:$E$33,4,FALSE)</f>
        <v>2815340</v>
      </c>
      <c r="F51" s="23">
        <f>VLOOKUP($B51,'Stock Data'!$A$1:$E$33,5,FALSE)</f>
        <v>674865179.55340004</v>
      </c>
      <c r="G51" s="23" t="str">
        <f>VLOOKUP($B51,'Stock Data'!$A$1:$J$33,10,FALSE)</f>
        <v>Big Value</v>
      </c>
    </row>
    <row r="52" spans="1:7" x14ac:dyDescent="0.25">
      <c r="A52" s="22" t="s">
        <v>54</v>
      </c>
      <c r="B52" s="18" t="s">
        <v>153</v>
      </c>
      <c r="C52" s="23">
        <f>VLOOKUP($B52,'Stock Data'!$A$1:$E$33,2,FALSE)</f>
        <v>1.7999999999999999E-2</v>
      </c>
      <c r="D52" s="23">
        <f>VLOOKUP($B52,'Stock Data'!$A$1:$E$33,3,FALSE)</f>
        <v>772</v>
      </c>
      <c r="E52" s="23">
        <f>VLOOKUP($B52,'Stock Data'!$A$1:$E$33,4,FALSE)</f>
        <v>949316</v>
      </c>
      <c r="F52" s="23">
        <f>VLOOKUP($B52,'Stock Data'!$A$1:$E$33,5,FALSE)</f>
        <v>732871952</v>
      </c>
      <c r="G52" s="23" t="str">
        <f>VLOOKUP($B52,'Stock Data'!$A$1:$J$33,10,FALSE)</f>
        <v>Big Growth</v>
      </c>
    </row>
    <row r="53" spans="1:7" x14ac:dyDescent="0.25">
      <c r="A53" s="22" t="s">
        <v>53</v>
      </c>
      <c r="B53" s="18" t="s">
        <v>158</v>
      </c>
      <c r="C53" s="23">
        <f>VLOOKUP($B53,'Stock Data'!$A$1:$E$33,2,FALSE)</f>
        <v>0.08</v>
      </c>
      <c r="D53" s="23">
        <f>VLOOKUP($B53,'Stock Data'!$A$1:$E$33,3,FALSE)</f>
        <v>316.04001</v>
      </c>
      <c r="E53" s="23">
        <f>VLOOKUP($B53,'Stock Data'!$A$1:$E$33,4,FALSE)</f>
        <v>1729399</v>
      </c>
      <c r="F53" s="23">
        <f>VLOOKUP($B53,'Stock Data'!$A$1:$E$33,5,FALSE)</f>
        <v>546559277.25398993</v>
      </c>
      <c r="G53" s="23" t="str">
        <f>VLOOKUP($B53,'Stock Data'!$A$1:$J$33,10,FALSE)</f>
        <v>Big Growth</v>
      </c>
    </row>
    <row r="54" spans="1:7" x14ac:dyDescent="0.25">
      <c r="A54" s="22" t="s">
        <v>57</v>
      </c>
      <c r="B54" s="18" t="s">
        <v>157</v>
      </c>
      <c r="C54" s="23">
        <f>VLOOKUP($B54,'Stock Data'!$A$1:$E$33,2,FALSE)</f>
        <v>7.4999999999999997E-2</v>
      </c>
      <c r="D54" s="23">
        <f>VLOOKUP($B54,'Stock Data'!$A$1:$E$33,3,FALSE)</f>
        <v>891.32001000000002</v>
      </c>
      <c r="E54" s="23">
        <f>VLOOKUP($B54,'Stock Data'!$A$1:$E$33,4,FALSE)</f>
        <v>427458</v>
      </c>
      <c r="F54" s="23">
        <f>VLOOKUP($B54,'Stock Data'!$A$1:$E$33,5,FALSE)</f>
        <v>381001868.83458</v>
      </c>
      <c r="G54" s="23" t="str">
        <f>VLOOKUP($B54,'Stock Data'!$A$1:$J$33,10,FALSE)</f>
        <v>Big Growth</v>
      </c>
    </row>
    <row r="55" spans="1:7" x14ac:dyDescent="0.25">
      <c r="A55" s="22" t="s">
        <v>26</v>
      </c>
      <c r="B55" s="18" t="s">
        <v>172</v>
      </c>
      <c r="C55" s="23">
        <f>VLOOKUP($B55,'Stock Data'!$A$1:$E$33,2,FALSE)</f>
        <v>0.6</v>
      </c>
      <c r="D55" s="23">
        <f>VLOOKUP($B55,'Stock Data'!$A$1:$E$33,3,FALSE)</f>
        <v>107.57</v>
      </c>
      <c r="E55" s="23">
        <f>VLOOKUP($B55,'Stock Data'!$A$1:$E$33,4,FALSE)</f>
        <v>4395095</v>
      </c>
      <c r="F55" s="23">
        <f>VLOOKUP($B55,'Stock Data'!$A$1:$E$33,5,FALSE)</f>
        <v>472780369.14999998</v>
      </c>
      <c r="G55" s="23" t="str">
        <f>VLOOKUP($B55,'Stock Data'!$A$1:$J$33,10,FALSE)</f>
        <v>Big Value</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9B030-4E3D-44BD-813A-32A08ECE6F86}">
  <dimension ref="A2:M141"/>
  <sheetViews>
    <sheetView zoomScale="85" zoomScaleNormal="85" workbookViewId="0">
      <selection activeCell="P6" sqref="P6"/>
    </sheetView>
  </sheetViews>
  <sheetFormatPr defaultRowHeight="15" x14ac:dyDescent="0.25"/>
  <cols>
    <col min="1" max="5" width="11.5703125" bestFit="1" customWidth="1"/>
    <col min="7" max="7" width="11.5703125" bestFit="1" customWidth="1"/>
    <col min="8" max="10" width="11.7109375" bestFit="1" customWidth="1"/>
    <col min="11" max="11" width="11.5703125" bestFit="1" customWidth="1"/>
    <col min="12" max="12" width="13.5703125" bestFit="1" customWidth="1"/>
    <col min="13" max="13" width="11.140625" bestFit="1" customWidth="1"/>
  </cols>
  <sheetData>
    <row r="2" spans="1:13" x14ac:dyDescent="0.25">
      <c r="A2" t="s">
        <v>145</v>
      </c>
      <c r="B2" t="s">
        <v>143</v>
      </c>
      <c r="C2" t="s">
        <v>144</v>
      </c>
    </row>
    <row r="3" spans="1:13" x14ac:dyDescent="0.25">
      <c r="A3">
        <v>8000</v>
      </c>
      <c r="B3">
        <v>0.22</v>
      </c>
      <c r="C3">
        <f>A3/(1-B3)</f>
        <v>10256.410256410256</v>
      </c>
    </row>
    <row r="6" spans="1:13" x14ac:dyDescent="0.25">
      <c r="A6" t="s">
        <v>146</v>
      </c>
      <c r="G6" t="s">
        <v>142</v>
      </c>
    </row>
    <row r="7" spans="1:13" x14ac:dyDescent="0.25">
      <c r="B7" s="16" t="s">
        <v>16</v>
      </c>
      <c r="C7" s="16" t="s">
        <v>124</v>
      </c>
      <c r="D7" s="16" t="s">
        <v>62</v>
      </c>
      <c r="H7" s="16" t="s">
        <v>16</v>
      </c>
      <c r="I7" s="16" t="s">
        <v>124</v>
      </c>
      <c r="J7" s="16" t="s">
        <v>62</v>
      </c>
      <c r="K7" s="16" t="s">
        <v>97</v>
      </c>
    </row>
    <row r="8" spans="1:13" x14ac:dyDescent="0.25">
      <c r="A8" s="16" t="s">
        <v>79</v>
      </c>
      <c r="B8" s="16" t="s">
        <v>141</v>
      </c>
      <c r="C8" s="16" t="s">
        <v>141</v>
      </c>
      <c r="D8" s="16" t="s">
        <v>141</v>
      </c>
      <c r="E8" s="16" t="s">
        <v>140</v>
      </c>
      <c r="G8" s="16" t="s">
        <v>79</v>
      </c>
      <c r="H8" s="16" t="s">
        <v>141</v>
      </c>
      <c r="I8" s="16" t="s">
        <v>141</v>
      </c>
      <c r="J8" s="16" t="s">
        <v>141</v>
      </c>
      <c r="K8" s="16" t="s">
        <v>141</v>
      </c>
      <c r="L8" s="16" t="s">
        <v>140</v>
      </c>
      <c r="M8" s="16" t="s">
        <v>147</v>
      </c>
    </row>
    <row r="9" spans="1:13" x14ac:dyDescent="0.25">
      <c r="A9" s="16" t="s">
        <v>139</v>
      </c>
      <c r="B9">
        <v>1000000</v>
      </c>
      <c r="C9">
        <v>1000000</v>
      </c>
      <c r="D9">
        <v>1000000</v>
      </c>
      <c r="E9">
        <f>C3</f>
        <v>10256.410256410256</v>
      </c>
      <c r="G9" s="16" t="s">
        <v>139</v>
      </c>
      <c r="H9">
        <f>$K$9/3</f>
        <v>333333.33333333331</v>
      </c>
      <c r="I9">
        <f>$K$9/3</f>
        <v>333333.33333333331</v>
      </c>
      <c r="J9">
        <f>$K$9/3</f>
        <v>333333.33333333331</v>
      </c>
      <c r="K9">
        <v>1000000</v>
      </c>
      <c r="L9">
        <f>C3</f>
        <v>10256.410256410256</v>
      </c>
      <c r="M9" s="17">
        <f>L9/3</f>
        <v>3418.8034188034185</v>
      </c>
    </row>
    <row r="10" spans="1:13" x14ac:dyDescent="0.25">
      <c r="A10" s="15">
        <f>'MF Data '!A194</f>
        <v>41670</v>
      </c>
      <c r="B10" s="17">
        <f>(B9-$E$9)*(1+'MF Data '!B194)</f>
        <v>938292.75897435891</v>
      </c>
      <c r="C10" s="17">
        <f>(C9-$E$9)*(1+'MF Data '!C194)</f>
        <v>981319.88205128198</v>
      </c>
      <c r="D10" s="17">
        <f>(D9-$E$9)*(1+'MF Data '!D194)</f>
        <v>953989.10256410262</v>
      </c>
      <c r="G10" s="15">
        <f>A10</f>
        <v>41670</v>
      </c>
      <c r="H10">
        <f>(H9-($M$9))*(1+'MF Data '!B194)</f>
        <v>312764.25299145293</v>
      </c>
      <c r="I10">
        <f>(I9-($M$9))*(1+'MF Data '!C194)</f>
        <v>327106.62735042733</v>
      </c>
      <c r="J10">
        <f>(J9-($M$9))*(1+'MF Data '!D194)</f>
        <v>317996.3675213675</v>
      </c>
      <c r="K10">
        <f>SUM(H10:J10)</f>
        <v>957867.24786324776</v>
      </c>
    </row>
    <row r="11" spans="1:13" x14ac:dyDescent="0.25">
      <c r="A11" s="15">
        <f>'MF Data '!A195</f>
        <v>41698</v>
      </c>
      <c r="B11" s="17">
        <f>(B10-$E$9)*(1+'MF Data '!B195)</f>
        <v>974014.05354248185</v>
      </c>
      <c r="C11" s="17">
        <f>(C10-$E$9)*(1+'MF Data '!C195)</f>
        <v>1027807.5657692051</v>
      </c>
      <c r="D11" s="17">
        <f>(D10-$E$9)*(1+'MF Data '!D195)</f>
        <v>986439.4278326924</v>
      </c>
      <c r="G11" s="15">
        <f t="shared" ref="G11:G74" si="0">A11</f>
        <v>41698</v>
      </c>
      <c r="H11">
        <f>(H10-($M$9))*(1+'MF Data '!B195)</f>
        <v>324671.35118082725</v>
      </c>
      <c r="I11">
        <f>(I10-($M$9))*(1+'MF Data '!C195)</f>
        <v>342602.52192306833</v>
      </c>
      <c r="J11">
        <f>(J10-($M$9))*(1+'MF Data '!D195)</f>
        <v>328813.14261089737</v>
      </c>
      <c r="K11">
        <f t="shared" ref="K11:K74" si="1">SUM(H11:J11)</f>
        <v>996087.015714793</v>
      </c>
    </row>
    <row r="12" spans="1:13" x14ac:dyDescent="0.25">
      <c r="A12" s="15">
        <f>'MF Data '!A196</f>
        <v>41729</v>
      </c>
      <c r="B12" s="17">
        <f>(B11-$E$9)*(1+'MF Data '!B196)</f>
        <v>969631.74612190016</v>
      </c>
      <c r="C12" s="17">
        <f>(C11-$E$9)*(1+'MF Data '!C196)</f>
        <v>978511.787880391</v>
      </c>
      <c r="D12" s="17">
        <f>(D11-$E$9)*(1+'MF Data '!D196)</f>
        <v>984552.81076898123</v>
      </c>
      <c r="G12" s="15">
        <f t="shared" si="0"/>
        <v>41729</v>
      </c>
      <c r="H12">
        <f>(H11-($M$9))*(1+'MF Data '!B196)</f>
        <v>323210.58204063331</v>
      </c>
      <c r="I12">
        <f>(I11-($M$9))*(1+'MF Data '!C196)</f>
        <v>326170.59596013027</v>
      </c>
      <c r="J12">
        <f>(J11-($M$9))*(1+'MF Data '!D196)</f>
        <v>328184.270256327</v>
      </c>
      <c r="K12">
        <f t="shared" si="1"/>
        <v>977565.44825709052</v>
      </c>
    </row>
    <row r="13" spans="1:13" x14ac:dyDescent="0.25">
      <c r="A13" s="15">
        <f>'MF Data '!A197</f>
        <v>41759</v>
      </c>
      <c r="B13" s="17">
        <f>(B12-$E$9)*(1+'MF Data '!B197)</f>
        <v>962877.05584139889</v>
      </c>
      <c r="C13" s="17">
        <f>(C12-$E$9)*(1+'MF Data '!C197)</f>
        <v>956949.05957946542</v>
      </c>
      <c r="D13" s="17">
        <f>(D12-$E$9)*(1+'MF Data '!D197)</f>
        <v>981509.11676556559</v>
      </c>
      <c r="G13" s="15">
        <f t="shared" si="0"/>
        <v>41759</v>
      </c>
      <c r="H13">
        <f>(H12-($M$9))*(1+'MF Data '!B197)</f>
        <v>320959.01861379953</v>
      </c>
      <c r="I13">
        <f>(I12-($M$9))*(1+'MF Data '!C197)</f>
        <v>318983.01985982177</v>
      </c>
      <c r="J13">
        <f>(J12-($M$9))*(1+'MF Data '!D197)</f>
        <v>327169.70558852179</v>
      </c>
      <c r="K13">
        <f t="shared" si="1"/>
        <v>967111.74406214303</v>
      </c>
    </row>
    <row r="14" spans="1:13" x14ac:dyDescent="0.25">
      <c r="A14" s="15">
        <f>'MF Data '!A198</f>
        <v>41789</v>
      </c>
      <c r="B14" s="17">
        <f>(B13-$E$9)*(1+'MF Data '!B198)</f>
        <v>972972.43305726629</v>
      </c>
      <c r="C14" s="17">
        <f>(C13-$E$9)*(1+'MF Data '!C198)</f>
        <v>979937.65508933295</v>
      </c>
      <c r="D14" s="17">
        <f>(D13-$E$9)*(1+'MF Data '!D198)</f>
        <v>993431.26206229185</v>
      </c>
      <c r="G14" s="15">
        <f t="shared" si="0"/>
        <v>41789</v>
      </c>
      <c r="H14">
        <f>(H13-($M$9))*(1+'MF Data '!B198)</f>
        <v>324324.14435242198</v>
      </c>
      <c r="I14">
        <f>(I13-($M$9))*(1+'MF Data '!C198)</f>
        <v>326645.88502977759</v>
      </c>
      <c r="J14">
        <f>(J13-($M$9))*(1+'MF Data '!D198)</f>
        <v>331143.75402076385</v>
      </c>
      <c r="K14">
        <f t="shared" si="1"/>
        <v>982113.78340296331</v>
      </c>
    </row>
    <row r="15" spans="1:13" x14ac:dyDescent="0.25">
      <c r="A15" s="15">
        <f>'MF Data '!A199</f>
        <v>41820</v>
      </c>
      <c r="B15" s="17">
        <f>(B14-$E$9)*(1+'MF Data '!B199)</f>
        <v>985981.01820786146</v>
      </c>
      <c r="C15" s="17">
        <f>(C14-$E$9)*(1+'MF Data '!C199)</f>
        <v>982593.52028911805</v>
      </c>
      <c r="D15" s="17">
        <f>(D14-$E$9)*(1+'MF Data '!D199)</f>
        <v>1002772.4761269282</v>
      </c>
      <c r="G15" s="15">
        <f t="shared" si="0"/>
        <v>41820</v>
      </c>
      <c r="H15">
        <f>(H14-($M$9))*(1+'MF Data '!B199)</f>
        <v>328660.33940262033</v>
      </c>
      <c r="I15">
        <f>(I14-($M$9))*(1+'MF Data '!C199)</f>
        <v>327531.1734297059</v>
      </c>
      <c r="J15">
        <f>(J14-($M$9))*(1+'MF Data '!D199)</f>
        <v>334257.49204230931</v>
      </c>
      <c r="K15">
        <f t="shared" si="1"/>
        <v>990449.00487463549</v>
      </c>
    </row>
    <row r="16" spans="1:13" x14ac:dyDescent="0.25">
      <c r="A16" s="15">
        <f>'MF Data '!A200</f>
        <v>41851</v>
      </c>
      <c r="B16" s="17">
        <f>(B15-$E$9)*(1+'MF Data '!B200)</f>
        <v>957891.28929192259</v>
      </c>
      <c r="C16" s="17">
        <f>(C15-$E$9)*(1+'MF Data '!C200)</f>
        <v>954083.42546606378</v>
      </c>
      <c r="D16" s="17">
        <f>(D15-$E$9)*(1+'MF Data '!D200)</f>
        <v>978978.14673204417</v>
      </c>
      <c r="G16" s="15">
        <f t="shared" si="0"/>
        <v>41851</v>
      </c>
      <c r="H16">
        <f>(H15-($M$9))*(1+'MF Data '!B200)</f>
        <v>319297.09643064067</v>
      </c>
      <c r="I16">
        <f>(I15-($M$9))*(1+'MF Data '!C200)</f>
        <v>318027.80848868779</v>
      </c>
      <c r="J16">
        <f>(J15-($M$9))*(1+'MF Data '!D200)</f>
        <v>326326.04891068127</v>
      </c>
      <c r="K16">
        <f t="shared" si="1"/>
        <v>963650.95383000968</v>
      </c>
    </row>
    <row r="17" spans="1:11" x14ac:dyDescent="0.25">
      <c r="A17" s="15">
        <f>'MF Data '!A201</f>
        <v>41880</v>
      </c>
      <c r="B17" s="17">
        <f>(B16-$E$9)*(1+'MF Data '!B201)</f>
        <v>987539.78379169782</v>
      </c>
      <c r="C17" s="17">
        <f>(C16-$E$9)*(1+'MF Data '!C201)</f>
        <v>989874.44762770215</v>
      </c>
      <c r="D17" s="17">
        <f>(D16-$E$9)*(1+'MF Data '!D201)</f>
        <v>1007421.201126099</v>
      </c>
      <c r="G17" s="15">
        <f t="shared" si="0"/>
        <v>41880</v>
      </c>
      <c r="H17">
        <f>(H16-($M$9))*(1+'MF Data '!B201)</f>
        <v>329179.92793056573</v>
      </c>
      <c r="I17">
        <f>(I16-($M$9))*(1+'MF Data '!C201)</f>
        <v>329958.14920923387</v>
      </c>
      <c r="J17">
        <f>(J16-($M$9))*(1+'MF Data '!D201)</f>
        <v>335807.0670420329</v>
      </c>
      <c r="K17">
        <f t="shared" si="1"/>
        <v>994945.14418183244</v>
      </c>
    </row>
    <row r="18" spans="1:11" x14ac:dyDescent="0.25">
      <c r="A18" s="15">
        <f>'MF Data '!A202</f>
        <v>41912</v>
      </c>
      <c r="B18" s="17">
        <f>(B17-$E$9)*(1+'MF Data '!B202)</f>
        <v>947478.18520920828</v>
      </c>
      <c r="C18" s="17">
        <f>(C17-$E$9)*(1+'MF Data '!C202)</f>
        <v>953407.37716338562</v>
      </c>
      <c r="D18" s="17">
        <f>(D17-$E$9)*(1+'MF Data '!D202)</f>
        <v>982696.92691896041</v>
      </c>
      <c r="G18" s="15">
        <f t="shared" si="0"/>
        <v>41912</v>
      </c>
      <c r="H18">
        <f>(H17-($M$9))*(1+'MF Data '!B202)</f>
        <v>315826.06173640257</v>
      </c>
      <c r="I18">
        <f>(I17-($M$9))*(1+'MF Data '!C202)</f>
        <v>317802.45905446168</v>
      </c>
      <c r="J18">
        <f>(J17-($M$9))*(1+'MF Data '!D202)</f>
        <v>327565.64230632002</v>
      </c>
      <c r="K18">
        <f t="shared" si="1"/>
        <v>961194.16309718427</v>
      </c>
    </row>
    <row r="19" spans="1:11" x14ac:dyDescent="0.25">
      <c r="A19" s="15">
        <f>'MF Data '!A203</f>
        <v>41943</v>
      </c>
      <c r="B19" s="17">
        <f>(B18-$E$9)*(1+'MF Data '!B203)</f>
        <v>952869.62970741</v>
      </c>
      <c r="C19" s="17">
        <f>(C18-$E$9)*(1+'MF Data '!C203)</f>
        <v>969963.80574517383</v>
      </c>
      <c r="D19" s="17">
        <f>(D18-$E$9)*(1+'MF Data '!D203)</f>
        <v>996348.93920521566</v>
      </c>
      <c r="G19" s="15">
        <f t="shared" si="0"/>
        <v>41943</v>
      </c>
      <c r="H19">
        <f>(H18-($M$9))*(1+'MF Data '!B203)</f>
        <v>317623.20990246977</v>
      </c>
      <c r="I19">
        <f>(I18-($M$9))*(1+'MF Data '!C203)</f>
        <v>323321.26858172438</v>
      </c>
      <c r="J19">
        <f>(J18-($M$9))*(1+'MF Data '!D203)</f>
        <v>332116.31306840508</v>
      </c>
      <c r="K19">
        <f t="shared" si="1"/>
        <v>973060.79155259929</v>
      </c>
    </row>
    <row r="20" spans="1:11" x14ac:dyDescent="0.25">
      <c r="A20" s="15">
        <f>'MF Data '!A204</f>
        <v>41971</v>
      </c>
      <c r="B20" s="17">
        <f>(B19-$E$9)*(1+'MF Data '!B204)</f>
        <v>957277.45330599905</v>
      </c>
      <c r="C20" s="17">
        <f>(C19-$E$9)*(1+'MF Data '!C204)</f>
        <v>974283.43141144689</v>
      </c>
      <c r="D20" s="17">
        <f>(D19-$E$9)*(1+'MF Data '!D204)</f>
        <v>1012789.9980775655</v>
      </c>
      <c r="G20" s="15">
        <f t="shared" si="0"/>
        <v>41971</v>
      </c>
      <c r="H20">
        <f>(H19-($M$9))*(1+'MF Data '!B204)</f>
        <v>319092.48443533276</v>
      </c>
      <c r="I20">
        <f>(I19-($M$9))*(1+'MF Data '!C204)</f>
        <v>324761.14380381536</v>
      </c>
      <c r="J20">
        <f>(J19-($M$9))*(1+'MF Data '!D204)</f>
        <v>337596.666025855</v>
      </c>
      <c r="K20">
        <f t="shared" si="1"/>
        <v>981450.29426500306</v>
      </c>
    </row>
    <row r="21" spans="1:11" x14ac:dyDescent="0.25">
      <c r="A21" s="15">
        <f>'MF Data '!A205</f>
        <v>42004</v>
      </c>
      <c r="B21" s="17">
        <f>(B20-$E$9)*(1+'MF Data '!B205)</f>
        <v>943334.29012899671</v>
      </c>
      <c r="C21" s="17">
        <f>(C20-$E$9)*(1+'MF Data '!C205)</f>
        <v>954995.05199383514</v>
      </c>
      <c r="D21" s="17">
        <f>(D20-$E$9)*(1+'MF Data '!D205)</f>
        <v>999740.52924548555</v>
      </c>
      <c r="G21" s="15">
        <f t="shared" si="0"/>
        <v>42004</v>
      </c>
      <c r="H21">
        <f>(H20-($M$9))*(1+'MF Data '!B205)</f>
        <v>314444.76337633195</v>
      </c>
      <c r="I21">
        <f>(I20-($M$9))*(1+'MF Data '!C205)</f>
        <v>318331.68399794475</v>
      </c>
      <c r="J21">
        <f>(J20-($M$9))*(1+'MF Data '!D205)</f>
        <v>333246.84308182832</v>
      </c>
      <c r="K21">
        <f t="shared" si="1"/>
        <v>966023.29045610502</v>
      </c>
    </row>
    <row r="22" spans="1:11" x14ac:dyDescent="0.25">
      <c r="A22" s="15">
        <f>'MF Data '!A206</f>
        <v>42034</v>
      </c>
      <c r="B22" s="17">
        <f>(B21-$E$9)*(1+'MF Data '!B206)</f>
        <v>906275.21777324646</v>
      </c>
      <c r="C22" s="17">
        <f>(C21-$E$9)*(1+'MF Data '!C206)</f>
        <v>936730.0922714168</v>
      </c>
      <c r="D22" s="17">
        <f>(D21-$E$9)*(1+'MF Data '!D206)</f>
        <v>959904.48073601595</v>
      </c>
      <c r="G22" s="15">
        <f t="shared" si="0"/>
        <v>42034</v>
      </c>
      <c r="H22">
        <f>(H21-($M$9))*(1+'MF Data '!B206)</f>
        <v>302091.73925774853</v>
      </c>
      <c r="I22">
        <f>(I21-($M$9))*(1+'MF Data '!C206)</f>
        <v>312243.36409047194</v>
      </c>
      <c r="J22">
        <f>(J21-($M$9))*(1+'MF Data '!D206)</f>
        <v>319968.16024533845</v>
      </c>
      <c r="K22">
        <f t="shared" si="1"/>
        <v>934303.26359355892</v>
      </c>
    </row>
    <row r="23" spans="1:11" x14ac:dyDescent="0.25">
      <c r="A23" s="15">
        <f>'MF Data '!A207</f>
        <v>42062</v>
      </c>
      <c r="B23" s="17">
        <f>(B22-$E$9)*(1+'MF Data '!B207)</f>
        <v>957713.28648960043</v>
      </c>
      <c r="C23" s="17">
        <f>(C22-$E$9)*(1+'MF Data '!C207)</f>
        <v>992061.53338589496</v>
      </c>
      <c r="D23" s="17">
        <f>(D22-$E$9)*(1+'MF Data '!D207)</f>
        <v>1004163.567613558</v>
      </c>
      <c r="G23" s="15">
        <f t="shared" si="0"/>
        <v>42062</v>
      </c>
      <c r="H23">
        <f>(H22-($M$9))*(1+'MF Data '!B207)</f>
        <v>319237.76216319983</v>
      </c>
      <c r="I23">
        <f>(I22-($M$9))*(1+'MF Data '!C207)</f>
        <v>330687.17779529793</v>
      </c>
      <c r="J23">
        <f>(J22-($M$9))*(1+'MF Data '!D207)</f>
        <v>334721.18920451909</v>
      </c>
      <c r="K23">
        <f t="shared" si="1"/>
        <v>984646.1291630168</v>
      </c>
    </row>
    <row r="24" spans="1:11" x14ac:dyDescent="0.25">
      <c r="A24" s="15">
        <f>'MF Data '!A208</f>
        <v>42094</v>
      </c>
      <c r="B24" s="17">
        <f>(B23-$E$9)*(1+'MF Data '!B208)</f>
        <v>936527.96116584039</v>
      </c>
      <c r="C24" s="17">
        <f>(C23-$E$9)*(1+'MF Data '!C208)</f>
        <v>973024.83991333772</v>
      </c>
      <c r="D24" s="17">
        <f>(D23-$E$9)*(1+'MF Data '!D208)</f>
        <v>977362.5788157807</v>
      </c>
      <c r="G24" s="15">
        <f t="shared" si="0"/>
        <v>42094</v>
      </c>
      <c r="H24">
        <f>(H23-($M$9))*(1+'MF Data '!B208)</f>
        <v>312175.98705527978</v>
      </c>
      <c r="I24">
        <f>(I23-($M$9))*(1+'MF Data '!C208)</f>
        <v>324341.61330444552</v>
      </c>
      <c r="J24">
        <f>(J23-($M$9))*(1+'MF Data '!D208)</f>
        <v>325787.52627192659</v>
      </c>
      <c r="K24">
        <f t="shared" si="1"/>
        <v>962305.12663165189</v>
      </c>
    </row>
    <row r="25" spans="1:11" x14ac:dyDescent="0.25">
      <c r="A25" s="15">
        <f>'MF Data '!A209</f>
        <v>42124</v>
      </c>
      <c r="B25" s="17">
        <f>(B24-$E$9)*(1+'MF Data '!B209)</f>
        <v>931545.74112030852</v>
      </c>
      <c r="C25" s="17">
        <f>(C24-$E$9)*(1+'MF Data '!C209)</f>
        <v>962458.41822257789</v>
      </c>
      <c r="D25" s="17">
        <f>(D24-$E$9)*(1+'MF Data '!D209)</f>
        <v>976624.42747033166</v>
      </c>
      <c r="G25" s="15">
        <f t="shared" si="0"/>
        <v>42124</v>
      </c>
      <c r="H25">
        <f>(H24-($M$9))*(1+'MF Data '!B209)</f>
        <v>310515.24704010249</v>
      </c>
      <c r="I25">
        <f>(I24-($M$9))*(1+'MF Data '!C209)</f>
        <v>320819.47274085891</v>
      </c>
      <c r="J25">
        <f>(J24-($M$9))*(1+'MF Data '!D209)</f>
        <v>325541.47582344356</v>
      </c>
      <c r="K25">
        <f t="shared" si="1"/>
        <v>956876.1956044049</v>
      </c>
    </row>
    <row r="26" spans="1:11" x14ac:dyDescent="0.25">
      <c r="A26" s="15">
        <f>'MF Data '!A210</f>
        <v>42153</v>
      </c>
      <c r="B26" s="17">
        <f>(B25-$E$9)*(1+'MF Data '!B210)</f>
        <v>943759.57764366863</v>
      </c>
      <c r="C26" s="17">
        <f>(C25-$E$9)*(1+'MF Data '!C210)</f>
        <v>972154.44884109066</v>
      </c>
      <c r="D26" s="17">
        <f>(D25-$E$9)*(1+'MF Data '!D210)</f>
        <v>979001.3463029589</v>
      </c>
      <c r="G26" s="15">
        <f t="shared" si="0"/>
        <v>42153</v>
      </c>
      <c r="H26">
        <f>(H25-($M$9))*(1+'MF Data '!B210)</f>
        <v>314586.52588122251</v>
      </c>
      <c r="I26">
        <f>(I25-($M$9))*(1+'MF Data '!C210)</f>
        <v>324051.48294702981</v>
      </c>
      <c r="J26">
        <f>(J25-($M$9))*(1+'MF Data '!D210)</f>
        <v>326333.78210098593</v>
      </c>
      <c r="K26">
        <f t="shared" si="1"/>
        <v>964971.79092923831</v>
      </c>
    </row>
    <row r="27" spans="1:11" x14ac:dyDescent="0.25">
      <c r="A27" s="15">
        <f>'MF Data '!A211</f>
        <v>42185</v>
      </c>
      <c r="B27" s="17">
        <f>(B26-$E$9)*(1+'MF Data '!B211)</f>
        <v>902715.29942365922</v>
      </c>
      <c r="C27" s="17">
        <f>(C26-$E$9)*(1+'MF Data '!C211)</f>
        <v>957645.48735609755</v>
      </c>
      <c r="D27" s="17">
        <f>(D26-$E$9)*(1+'MF Data '!D211)</f>
        <v>949624.81724379794</v>
      </c>
      <c r="G27" s="15">
        <f t="shared" si="0"/>
        <v>42185</v>
      </c>
      <c r="H27">
        <f>(H26-($M$9))*(1+'MF Data '!B211)</f>
        <v>300905.099807886</v>
      </c>
      <c r="I27">
        <f>(I26-($M$9))*(1+'MF Data '!C211)</f>
        <v>319215.16245203209</v>
      </c>
      <c r="J27">
        <f>(J26-($M$9))*(1+'MF Data '!D211)</f>
        <v>316541.60574793228</v>
      </c>
      <c r="K27">
        <f t="shared" si="1"/>
        <v>936661.86800785037</v>
      </c>
    </row>
    <row r="28" spans="1:11" x14ac:dyDescent="0.25">
      <c r="A28" s="15">
        <f>'MF Data '!A212</f>
        <v>42216</v>
      </c>
      <c r="B28" s="17">
        <f>(B27-$E$9)*(1+'MF Data '!B212)</f>
        <v>885777.94192294299</v>
      </c>
      <c r="C28" s="17">
        <f>(C27-$E$9)*(1+'MF Data '!C212)</f>
        <v>983746.08032246493</v>
      </c>
      <c r="D28" s="17">
        <f>(D27-$E$9)*(1+'MF Data '!D212)</f>
        <v>958562.52164736087</v>
      </c>
      <c r="G28" s="15">
        <f t="shared" si="0"/>
        <v>42216</v>
      </c>
      <c r="H28">
        <f>(H27-($M$9))*(1+'MF Data '!B212)</f>
        <v>295259.3139743139</v>
      </c>
      <c r="I28">
        <f>(I27-($M$9))*(1+'MF Data '!C212)</f>
        <v>327915.36010748782</v>
      </c>
      <c r="J28">
        <f>(J27-($M$9))*(1+'MF Data '!D212)</f>
        <v>319520.84054911992</v>
      </c>
      <c r="K28">
        <f t="shared" si="1"/>
        <v>942695.51463092165</v>
      </c>
    </row>
    <row r="29" spans="1:11" x14ac:dyDescent="0.25">
      <c r="A29" s="15">
        <f>'MF Data '!A213</f>
        <v>42247</v>
      </c>
      <c r="B29" s="17">
        <f>(B28-$E$9)*(1+'MF Data '!B213)</f>
        <v>823083.04504889739</v>
      </c>
      <c r="C29" s="17">
        <f>(C28-$E$9)*(1+'MF Data '!C213)</f>
        <v>906885.45381947537</v>
      </c>
      <c r="D29" s="17">
        <f>(D28-$E$9)*(1+'MF Data '!D213)</f>
        <v>890893.76279511966</v>
      </c>
      <c r="G29" s="15">
        <f t="shared" si="0"/>
        <v>42247</v>
      </c>
      <c r="H29">
        <f>(H28-($M$9))*(1+'MF Data '!B213)</f>
        <v>274361.01501629874</v>
      </c>
      <c r="I29">
        <f>(I28-($M$9))*(1+'MF Data '!C213)</f>
        <v>302295.15127315797</v>
      </c>
      <c r="J29">
        <f>(J28-($M$9))*(1+'MF Data '!D213)</f>
        <v>296964.58759837289</v>
      </c>
      <c r="K29">
        <f t="shared" si="1"/>
        <v>873620.7538878296</v>
      </c>
    </row>
    <row r="30" spans="1:11" x14ac:dyDescent="0.25">
      <c r="A30" s="15">
        <f>'MF Data '!A214</f>
        <v>42277</v>
      </c>
      <c r="B30" s="17">
        <f>(B29-$E$9)*(1+'MF Data '!B214)</f>
        <v>781978.23834884271</v>
      </c>
      <c r="C30" s="17">
        <f>(C29-$E$9)*(1+'MF Data '!C214)</f>
        <v>880460.13202049234</v>
      </c>
      <c r="D30" s="17">
        <f>(D29-$E$9)*(1+'MF Data '!D214)</f>
        <v>858669.85377963132</v>
      </c>
      <c r="G30" s="15">
        <f t="shared" si="0"/>
        <v>42277</v>
      </c>
      <c r="H30">
        <f>(H29-($M$9))*(1+'MF Data '!B214)</f>
        <v>260659.41278294715</v>
      </c>
      <c r="I30">
        <f>(I29-($M$9))*(1+'MF Data '!C214)</f>
        <v>293486.71067349694</v>
      </c>
      <c r="J30">
        <f>(J29-($M$9))*(1+'MF Data '!D214)</f>
        <v>286223.28459321009</v>
      </c>
      <c r="K30">
        <f t="shared" si="1"/>
        <v>840369.40804965422</v>
      </c>
    </row>
    <row r="31" spans="1:11" x14ac:dyDescent="0.25">
      <c r="A31" s="15">
        <f>'MF Data '!A215</f>
        <v>42307</v>
      </c>
      <c r="B31" s="17">
        <f>(B30-$E$9)*(1+'MF Data '!B215)</f>
        <v>826709.32350950257</v>
      </c>
      <c r="C31" s="17">
        <f>(C30-$E$9)*(1+'MF Data '!C215)</f>
        <v>942260.94094475696</v>
      </c>
      <c r="D31" s="17">
        <f>(D30-$E$9)*(1+'MF Data '!D215)</f>
        <v>919899.91186104424</v>
      </c>
      <c r="G31" s="15">
        <f t="shared" si="0"/>
        <v>42307</v>
      </c>
      <c r="H31">
        <f>(H30-($M$9))*(1+'MF Data '!B215)</f>
        <v>275569.77450316708</v>
      </c>
      <c r="I31">
        <f>(I30-($M$9))*(1+'MF Data '!C215)</f>
        <v>314086.98031491839</v>
      </c>
      <c r="J31">
        <f>(J30-($M$9))*(1+'MF Data '!D215)</f>
        <v>306633.30395368102</v>
      </c>
      <c r="K31">
        <f t="shared" si="1"/>
        <v>896290.05877176649</v>
      </c>
    </row>
    <row r="32" spans="1:11" x14ac:dyDescent="0.25">
      <c r="A32" s="15">
        <f>'MF Data '!A216</f>
        <v>42338</v>
      </c>
      <c r="B32" s="17">
        <f>(B31-$E$9)*(1+'MF Data '!B216)</f>
        <v>818325.85623609496</v>
      </c>
      <c r="C32" s="17">
        <f>(C31-$E$9)*(1+'MF Data '!C216)</f>
        <v>935452.94745189359</v>
      </c>
      <c r="D32" s="17">
        <f>(D31-$E$9)*(1+'MF Data '!D216)</f>
        <v>912006.75542180287</v>
      </c>
      <c r="G32" s="15">
        <f t="shared" si="0"/>
        <v>42338</v>
      </c>
      <c r="H32">
        <f>(H31-($M$9))*(1+'MF Data '!B216)</f>
        <v>272775.28541203117</v>
      </c>
      <c r="I32">
        <f>(I31-($M$9))*(1+'MF Data '!C216)</f>
        <v>311817.64915063058</v>
      </c>
      <c r="J32">
        <f>(J31-($M$9))*(1+'MF Data '!D216)</f>
        <v>304002.25180726725</v>
      </c>
      <c r="K32">
        <f t="shared" si="1"/>
        <v>888595.186369929</v>
      </c>
    </row>
    <row r="33" spans="1:11" x14ac:dyDescent="0.25">
      <c r="A33" s="15">
        <f>'MF Data '!A217</f>
        <v>42369</v>
      </c>
      <c r="B33" s="17">
        <f>(B32-$E$9)*(1+'MF Data '!B217)</f>
        <v>791205.03664208879</v>
      </c>
      <c r="C33" s="17">
        <f>(C32-$E$9)*(1+'MF Data '!C217)</f>
        <v>915674.41443466744</v>
      </c>
      <c r="D33" s="17">
        <f>(D32-$E$9)*(1+'MF Data '!D217)</f>
        <v>886633.40237904002</v>
      </c>
      <c r="G33" s="15">
        <f t="shared" si="0"/>
        <v>42369</v>
      </c>
      <c r="H33">
        <f>(H32-($M$9))*(1+'MF Data '!B217)</f>
        <v>263735.01221402909</v>
      </c>
      <c r="I33">
        <f>(I32-($M$9))*(1+'MF Data '!C217)</f>
        <v>305224.80481155519</v>
      </c>
      <c r="J33">
        <f>(J32-($M$9))*(1+'MF Data '!D217)</f>
        <v>295544.46745967958</v>
      </c>
      <c r="K33">
        <f t="shared" si="1"/>
        <v>864504.28448526387</v>
      </c>
    </row>
    <row r="34" spans="1:11" x14ac:dyDescent="0.25">
      <c r="A34" s="15">
        <f>'MF Data '!A218</f>
        <v>42398</v>
      </c>
      <c r="B34" s="17">
        <f>(B33-$E$9)*(1+'MF Data '!B218)</f>
        <v>727632.4827137019</v>
      </c>
      <c r="C34" s="17">
        <f>(C33-$E$9)*(1+'MF Data '!C218)</f>
        <v>844688.90238400898</v>
      </c>
      <c r="D34" s="17">
        <f>(D33-$E$9)*(1+'MF Data '!D218)</f>
        <v>833190.88670481078</v>
      </c>
      <c r="G34" s="15">
        <f t="shared" si="0"/>
        <v>42398</v>
      </c>
      <c r="H34">
        <f>(H33-($M$9))*(1+'MF Data '!B218)</f>
        <v>242544.16090456684</v>
      </c>
      <c r="I34">
        <f>(I33-($M$9))*(1+'MF Data '!C218)</f>
        <v>281562.96746133576</v>
      </c>
      <c r="J34">
        <f>(J33-($M$9))*(1+'MF Data '!D218)</f>
        <v>277730.29556826985</v>
      </c>
      <c r="K34">
        <f t="shared" si="1"/>
        <v>801837.42393417237</v>
      </c>
    </row>
    <row r="35" spans="1:11" x14ac:dyDescent="0.25">
      <c r="A35" s="15">
        <f>'MF Data '!A219</f>
        <v>42429</v>
      </c>
      <c r="B35" s="17">
        <f>(B34-$E$9)*(1+'MF Data '!B219)</f>
        <v>717754.1296474766</v>
      </c>
      <c r="C35" s="17">
        <f>(C34-$E$9)*(1+'MF Data '!C219)</f>
        <v>825948.81698013737</v>
      </c>
      <c r="D35" s="17">
        <f>(D34-$E$9)*(1+'MF Data '!D219)</f>
        <v>822288.47288438852</v>
      </c>
      <c r="G35" s="15">
        <f t="shared" si="0"/>
        <v>42429</v>
      </c>
      <c r="H35">
        <f>(H34-($M$9))*(1+'MF Data '!B219)</f>
        <v>239251.37654915842</v>
      </c>
      <c r="I35">
        <f>(I34-($M$9))*(1+'MF Data '!C219)</f>
        <v>275316.27232671191</v>
      </c>
      <c r="J35">
        <f>(J34-($M$9))*(1+'MF Data '!D219)</f>
        <v>274096.15762812906</v>
      </c>
      <c r="K35">
        <f t="shared" si="1"/>
        <v>788663.8065039994</v>
      </c>
    </row>
    <row r="36" spans="1:11" x14ac:dyDescent="0.25">
      <c r="A36" s="15">
        <f>'MF Data '!A220</f>
        <v>42460</v>
      </c>
      <c r="B36" s="17">
        <f>(B35-$E$9)*(1+'MF Data '!B220)</f>
        <v>757453.42585955013</v>
      </c>
      <c r="C36" s="17">
        <f>(C35-$E$9)*(1+'MF Data '!C220)</f>
        <v>859678.61975630408</v>
      </c>
      <c r="D36" s="17">
        <f>(D35-$E$9)*(1+'MF Data '!D220)</f>
        <v>866557.57953725918</v>
      </c>
      <c r="G36" s="15">
        <f t="shared" si="0"/>
        <v>42460</v>
      </c>
      <c r="H36">
        <f>(H35-($M$9))*(1+'MF Data '!B220)</f>
        <v>252484.47528651624</v>
      </c>
      <c r="I36">
        <f>(I35-($M$9))*(1+'MF Data '!C220)</f>
        <v>286559.53991876746</v>
      </c>
      <c r="J36">
        <f>(J35-($M$9))*(1+'MF Data '!D220)</f>
        <v>288852.52651241922</v>
      </c>
      <c r="K36">
        <f t="shared" si="1"/>
        <v>827896.54171770287</v>
      </c>
    </row>
    <row r="37" spans="1:11" x14ac:dyDescent="0.25">
      <c r="A37" s="15">
        <f>'MF Data '!A221</f>
        <v>42489</v>
      </c>
      <c r="B37" s="17">
        <f>(B36-$E$9)*(1+'MF Data '!B221)</f>
        <v>747197.01560313988</v>
      </c>
      <c r="C37" s="17">
        <f>(C36-$E$9)*(1+'MF Data '!C221)</f>
        <v>860657.51706494903</v>
      </c>
      <c r="D37" s="17">
        <f>(D36-$E$9)*(1+'MF Data '!D221)</f>
        <v>859680.98999600043</v>
      </c>
      <c r="G37" s="15">
        <f t="shared" si="0"/>
        <v>42489</v>
      </c>
      <c r="H37">
        <f>(H36-($M$9))*(1+'MF Data '!B221)</f>
        <v>249065.67186771284</v>
      </c>
      <c r="I37">
        <f>(I36-($M$9))*(1+'MF Data '!C221)</f>
        <v>286885.8390216491</v>
      </c>
      <c r="J37">
        <f>(J36-($M$9))*(1+'MF Data '!D221)</f>
        <v>286560.32999866625</v>
      </c>
      <c r="K37">
        <f t="shared" si="1"/>
        <v>822511.84088802827</v>
      </c>
    </row>
    <row r="38" spans="1:11" x14ac:dyDescent="0.25">
      <c r="A38" s="15">
        <f>'MF Data '!A222</f>
        <v>42521</v>
      </c>
      <c r="B38" s="17">
        <f>(B37-$E$9)*(1+'MF Data '!B222)</f>
        <v>747478.85600318783</v>
      </c>
      <c r="C38" s="17">
        <f>(C37-$E$9)*(1+'MF Data '!C222)</f>
        <v>865007.59621908236</v>
      </c>
      <c r="D38" s="17">
        <f>(D37-$E$9)*(1+'MF Data '!D222)</f>
        <v>863824.87463991542</v>
      </c>
      <c r="G38" s="15">
        <f t="shared" si="0"/>
        <v>42521</v>
      </c>
      <c r="H38">
        <f>(H37-($M$9))*(1+'MF Data '!B222)</f>
        <v>249159.61866772882</v>
      </c>
      <c r="I38">
        <f>(I37-($M$9))*(1+'MF Data '!C222)</f>
        <v>288335.86540636019</v>
      </c>
      <c r="J38">
        <f>(J37-($M$9))*(1+'MF Data '!D222)</f>
        <v>287941.6248799712</v>
      </c>
      <c r="K38">
        <f t="shared" si="1"/>
        <v>825437.10895406012</v>
      </c>
    </row>
    <row r="39" spans="1:11" x14ac:dyDescent="0.25">
      <c r="A39" s="15">
        <f>'MF Data '!A223</f>
        <v>42551</v>
      </c>
      <c r="B39" s="17">
        <f>(B38-$E$9)*(1+'MF Data '!B223)</f>
        <v>734760.12277798331</v>
      </c>
      <c r="C39" s="17">
        <f>(C38-$E$9)*(1+'MF Data '!C223)</f>
        <v>840606.76333736186</v>
      </c>
      <c r="D39" s="17">
        <f>(D38-$E$9)*(1+'MF Data '!D223)</f>
        <v>855566.66815862688</v>
      </c>
      <c r="G39" s="15">
        <f t="shared" si="0"/>
        <v>42551</v>
      </c>
      <c r="H39">
        <f>(H38-($M$9))*(1+'MF Data '!B223)</f>
        <v>244920.04092599399</v>
      </c>
      <c r="I39">
        <f>(I38-($M$9))*(1+'MF Data '!C223)</f>
        <v>280202.25444578665</v>
      </c>
      <c r="J39">
        <f>(J38-($M$9))*(1+'MF Data '!D223)</f>
        <v>285188.88938620832</v>
      </c>
      <c r="K39">
        <f t="shared" si="1"/>
        <v>810311.1847579889</v>
      </c>
    </row>
    <row r="40" spans="1:11" x14ac:dyDescent="0.25">
      <c r="A40" s="15">
        <f>'MF Data '!A224</f>
        <v>42580</v>
      </c>
      <c r="B40" s="17">
        <f>(B39-$E$9)*(1+'MF Data '!B224)</f>
        <v>758498.15121679776</v>
      </c>
      <c r="C40" s="17">
        <f>(C39-$E$9)*(1+'MF Data '!C224)</f>
        <v>873977.79098217783</v>
      </c>
      <c r="D40" s="17">
        <f>(D39-$E$9)*(1+'MF Data '!D224)</f>
        <v>876011.92646922509</v>
      </c>
      <c r="G40" s="15">
        <f t="shared" si="0"/>
        <v>42580</v>
      </c>
      <c r="H40">
        <f>(H39-($M$9))*(1+'MF Data '!B224)</f>
        <v>252832.71707226548</v>
      </c>
      <c r="I40">
        <f>(I39-($M$9))*(1+'MF Data '!C224)</f>
        <v>291325.93032739189</v>
      </c>
      <c r="J40">
        <f>(J39-($M$9))*(1+'MF Data '!D224)</f>
        <v>292003.97548974102</v>
      </c>
      <c r="K40">
        <f t="shared" si="1"/>
        <v>836162.62288939836</v>
      </c>
    </row>
    <row r="41" spans="1:11" x14ac:dyDescent="0.25">
      <c r="A41" s="15">
        <f>'MF Data '!A225</f>
        <v>42613</v>
      </c>
      <c r="B41" s="17">
        <f>(B40-$E$9)*(1+'MF Data '!B225)</f>
        <v>754878.6452027061</v>
      </c>
      <c r="C41" s="17">
        <f>(C40-$E$9)*(1+'MF Data '!C225)</f>
        <v>858085.598716532</v>
      </c>
      <c r="D41" s="17">
        <f>(D40-$E$9)*(1+'MF Data '!D225)</f>
        <v>866969.30544654513</v>
      </c>
      <c r="G41" s="15">
        <f t="shared" si="0"/>
        <v>42613</v>
      </c>
      <c r="H41">
        <f>(H40-($M$9))*(1+'MF Data '!B225)</f>
        <v>251626.21506756826</v>
      </c>
      <c r="I41">
        <f>(I40-($M$9))*(1+'MF Data '!C225)</f>
        <v>286028.53290550993</v>
      </c>
      <c r="J41">
        <f>(J40-($M$9))*(1+'MF Data '!D225)</f>
        <v>288989.76848218101</v>
      </c>
      <c r="K41">
        <f t="shared" si="1"/>
        <v>826644.51645525917</v>
      </c>
    </row>
    <row r="42" spans="1:11" x14ac:dyDescent="0.25">
      <c r="A42" s="15">
        <f>'MF Data '!A226</f>
        <v>42643</v>
      </c>
      <c r="B42" s="17">
        <f>(B41-$E$9)*(1+'MF Data '!B226)</f>
        <v>742555.16362208489</v>
      </c>
      <c r="C42" s="17">
        <f>(C41-$E$9)*(1+'MF Data '!C226)</f>
        <v>849778.34776439157</v>
      </c>
      <c r="D42" s="17">
        <f>(D41-$E$9)*(1+'MF Data '!D226)</f>
        <v>856048.9426963625</v>
      </c>
      <c r="G42" s="15">
        <f t="shared" si="0"/>
        <v>42643</v>
      </c>
      <c r="H42">
        <f>(H41-($M$9))*(1+'MF Data '!B226)</f>
        <v>247518.38787402789</v>
      </c>
      <c r="I42">
        <f>(I41-($M$9))*(1+'MF Data '!C226)</f>
        <v>283259.44925479643</v>
      </c>
      <c r="J42">
        <f>(J41-($M$9))*(1+'MF Data '!D226)</f>
        <v>285349.64756545349</v>
      </c>
      <c r="K42">
        <f t="shared" si="1"/>
        <v>816127.48469427787</v>
      </c>
    </row>
    <row r="43" spans="1:11" x14ac:dyDescent="0.25">
      <c r="A43" s="15">
        <f>'MF Data '!A227</f>
        <v>42674</v>
      </c>
      <c r="B43" s="17">
        <f>(B42-$E$9)*(1+'MF Data '!B227)</f>
        <v>709148.59287552559</v>
      </c>
      <c r="C43" s="17">
        <f>(C42-$E$9)*(1+'MF Data '!C227)</f>
        <v>817516.3884820221</v>
      </c>
      <c r="D43" s="17">
        <f>(D42-$E$9)*(1+'MF Data '!D227)</f>
        <v>830884.59326316568</v>
      </c>
      <c r="G43" s="15">
        <f t="shared" si="0"/>
        <v>42674</v>
      </c>
      <c r="H43">
        <f>(H42-($M$9))*(1+'MF Data '!B227)</f>
        <v>236382.86429184146</v>
      </c>
      <c r="I43">
        <f>(I42-($M$9))*(1+'MF Data '!C227)</f>
        <v>272505.46282733994</v>
      </c>
      <c r="J43">
        <f>(J42-($M$9))*(1+'MF Data '!D227)</f>
        <v>276961.53108772117</v>
      </c>
      <c r="K43">
        <f t="shared" si="1"/>
        <v>785849.85820690263</v>
      </c>
    </row>
    <row r="44" spans="1:11" x14ac:dyDescent="0.25">
      <c r="A44" s="15">
        <f>'MF Data '!A228</f>
        <v>42704</v>
      </c>
      <c r="B44" s="17">
        <f>(B43-$E$9)*(1+'MF Data '!B228)</f>
        <v>728753.74890588224</v>
      </c>
      <c r="C44" s="17">
        <f>(C43-$E$9)*(1+'MF Data '!C228)</f>
        <v>805630.12032957433</v>
      </c>
      <c r="D44" s="17">
        <f>(D43-$E$9)*(1+'MF Data '!D228)</f>
        <v>852438.19326464634</v>
      </c>
      <c r="G44" s="15">
        <f t="shared" si="0"/>
        <v>42704</v>
      </c>
      <c r="H44">
        <f>(H43-($M$9))*(1+'MF Data '!B228)</f>
        <v>242917.91630196033</v>
      </c>
      <c r="I44">
        <f>(I43-($M$9))*(1+'MF Data '!C228)</f>
        <v>268543.37344319065</v>
      </c>
      <c r="J44">
        <f>(J43-($M$9))*(1+'MF Data '!D228)</f>
        <v>284146.06442154804</v>
      </c>
      <c r="K44">
        <f t="shared" si="1"/>
        <v>795607.35416669899</v>
      </c>
    </row>
    <row r="45" spans="1:11" x14ac:dyDescent="0.25">
      <c r="A45" s="15">
        <f>'MF Data '!A229</f>
        <v>42734</v>
      </c>
      <c r="B45" s="17">
        <f>(B44-$E$9)*(1+'MF Data '!B229)</f>
        <v>732755.91833497083</v>
      </c>
      <c r="C45" s="17">
        <f>(C44-$E$9)*(1+'MF Data '!C229)</f>
        <v>797389.18705448951</v>
      </c>
      <c r="D45" s="17">
        <f>(D44-$E$9)*(1+'MF Data '!D229)</f>
        <v>855114.32646811055</v>
      </c>
      <c r="G45" s="15">
        <f t="shared" si="0"/>
        <v>42734</v>
      </c>
      <c r="H45">
        <f>(H44-($M$9))*(1+'MF Data '!B229)</f>
        <v>244251.97277832319</v>
      </c>
      <c r="I45">
        <f>(I44-($M$9))*(1+'MF Data '!C229)</f>
        <v>265796.39568482904</v>
      </c>
      <c r="J45">
        <f>(J44-($M$9))*(1+'MF Data '!D229)</f>
        <v>285038.10882270272</v>
      </c>
      <c r="K45">
        <f t="shared" si="1"/>
        <v>795086.47728585498</v>
      </c>
    </row>
    <row r="46" spans="1:11" x14ac:dyDescent="0.25">
      <c r="A46" s="15">
        <f>'MF Data '!A230</f>
        <v>42766</v>
      </c>
      <c r="B46" s="17">
        <f>(B45-$E$9)*(1+'MF Data '!B230)</f>
        <v>732709.14862721867</v>
      </c>
      <c r="C46" s="17">
        <f>(C45-$E$9)*(1+'MF Data '!C230)</f>
        <v>817533.41890357458</v>
      </c>
      <c r="D46" s="17">
        <f>(D45-$E$9)*(1+'MF Data '!D230)</f>
        <v>859377.64435971447</v>
      </c>
      <c r="G46" s="15">
        <f t="shared" si="0"/>
        <v>42766</v>
      </c>
      <c r="H46">
        <f>(H45-($M$9))*(1+'MF Data '!B230)</f>
        <v>244236.38287573913</v>
      </c>
      <c r="I46">
        <f>(I45-($M$9))*(1+'MF Data '!C230)</f>
        <v>272511.13963452401</v>
      </c>
      <c r="J46">
        <f>(J45-($M$9))*(1+'MF Data '!D230)</f>
        <v>286459.21478657069</v>
      </c>
      <c r="K46">
        <f t="shared" si="1"/>
        <v>803206.73729683389</v>
      </c>
    </row>
    <row r="47" spans="1:11" x14ac:dyDescent="0.25">
      <c r="A47" s="15">
        <f>'MF Data '!A231</f>
        <v>42794</v>
      </c>
      <c r="B47" s="17">
        <f>(B46-$E$9)*(1+'MF Data '!B231)</f>
        <v>744263.58654222311</v>
      </c>
      <c r="C47" s="17">
        <f>(C46-$E$9)*(1+'MF Data '!C231)</f>
        <v>829724.15314960736</v>
      </c>
      <c r="D47" s="17">
        <f>(D46-$E$9)*(1+'MF Data '!D231)</f>
        <v>882979.09419193934</v>
      </c>
      <c r="G47" s="15">
        <f t="shared" si="0"/>
        <v>42794</v>
      </c>
      <c r="H47">
        <f>(H46-($M$9))*(1+'MF Data '!B231)</f>
        <v>248087.8621807406</v>
      </c>
      <c r="I47">
        <f>(I46-($M$9))*(1+'MF Data '!C231)</f>
        <v>276574.71771653491</v>
      </c>
      <c r="J47">
        <f>(J46-($M$9))*(1+'MF Data '!D231)</f>
        <v>294326.36473064561</v>
      </c>
      <c r="K47">
        <f t="shared" si="1"/>
        <v>818988.9446279211</v>
      </c>
    </row>
    <row r="48" spans="1:11" x14ac:dyDescent="0.25">
      <c r="A48" s="15">
        <f>'MF Data '!A232</f>
        <v>42825</v>
      </c>
      <c r="B48" s="17">
        <f>(B47-$E$9)*(1+'MF Data '!B232)</f>
        <v>732683.76134696952</v>
      </c>
      <c r="C48" s="17">
        <f>(C47-$E$9)*(1+'MF Data '!C232)</f>
        <v>832822.60869912757</v>
      </c>
      <c r="D48" s="17">
        <f>(D47-$E$9)*(1+'MF Data '!D232)</f>
        <v>873333.58981428389</v>
      </c>
      <c r="G48" s="15">
        <f t="shared" si="0"/>
        <v>42825</v>
      </c>
      <c r="H48">
        <f>(H47-($M$9))*(1+'MF Data '!B232)</f>
        <v>244227.92044898943</v>
      </c>
      <c r="I48">
        <f>(I47-($M$9))*(1+'MF Data '!C232)</f>
        <v>277607.53623304161</v>
      </c>
      <c r="J48">
        <f>(J47-($M$9))*(1+'MF Data '!D232)</f>
        <v>291111.19660476042</v>
      </c>
      <c r="K48">
        <f t="shared" si="1"/>
        <v>812946.65328679141</v>
      </c>
    </row>
    <row r="49" spans="1:11" x14ac:dyDescent="0.25">
      <c r="A49" s="15">
        <f>'MF Data '!A233</f>
        <v>42853</v>
      </c>
      <c r="B49" s="17">
        <f>(B48-$E$9)*(1+'MF Data '!B233)</f>
        <v>730926.70887613972</v>
      </c>
      <c r="C49" s="17">
        <f>(C48-$E$9)*(1+'MF Data '!C233)</f>
        <v>844198.86689556239</v>
      </c>
      <c r="D49" s="17">
        <f>(D48-$E$9)*(1+'MF Data '!D233)</f>
        <v>871706.22519909323</v>
      </c>
      <c r="G49" s="15">
        <f t="shared" si="0"/>
        <v>42853</v>
      </c>
      <c r="H49">
        <f>(H48-($M$9))*(1+'MF Data '!B233)</f>
        <v>243642.23629204617</v>
      </c>
      <c r="I49">
        <f>(I48-($M$9))*(1+'MF Data '!C233)</f>
        <v>281399.62229851983</v>
      </c>
      <c r="J49">
        <f>(J48-($M$9))*(1+'MF Data '!D233)</f>
        <v>290568.74173303018</v>
      </c>
      <c r="K49">
        <f t="shared" si="1"/>
        <v>815610.60032359615</v>
      </c>
    </row>
    <row r="50" spans="1:11" x14ac:dyDescent="0.25">
      <c r="A50" s="15">
        <f>'MF Data '!A234</f>
        <v>42886</v>
      </c>
      <c r="B50" s="17">
        <f>(B49-$E$9)*(1+'MF Data '!B234)</f>
        <v>720992.43824321253</v>
      </c>
      <c r="C50" s="17">
        <f>(C49-$E$9)*(1+'MF Data '!C234)</f>
        <v>860003.15840912564</v>
      </c>
      <c r="D50" s="17">
        <f>(D49-$E$9)*(1+'MF Data '!D234)</f>
        <v>873313.70179407357</v>
      </c>
      <c r="G50" s="15">
        <f t="shared" si="0"/>
        <v>42886</v>
      </c>
      <c r="H50">
        <f>(H49-($M$9))*(1+'MF Data '!B234)</f>
        <v>240330.81274773713</v>
      </c>
      <c r="I50">
        <f>(I49-($M$9))*(1+'MF Data '!C234)</f>
        <v>286667.71946970752</v>
      </c>
      <c r="J50">
        <f>(J49-($M$9))*(1+'MF Data '!D234)</f>
        <v>291104.56726469024</v>
      </c>
      <c r="K50">
        <f t="shared" si="1"/>
        <v>818103.09948213492</v>
      </c>
    </row>
    <row r="51" spans="1:11" x14ac:dyDescent="0.25">
      <c r="A51" s="15">
        <f>'MF Data '!A235</f>
        <v>42916</v>
      </c>
      <c r="B51" s="17">
        <f>(B50-$E$9)*(1+'MF Data '!B235)</f>
        <v>720895.99950687354</v>
      </c>
      <c r="C51" s="17">
        <f>(C50-$E$9)*(1+'MF Data '!C235)</f>
        <v>843566.54005340068</v>
      </c>
      <c r="D51" s="17">
        <f>(D50-$E$9)*(1+'MF Data '!D235)</f>
        <v>868285.6926097984</v>
      </c>
      <c r="G51" s="15">
        <f t="shared" si="0"/>
        <v>42916</v>
      </c>
      <c r="H51">
        <f>(H50-($M$9))*(1+'MF Data '!B235)</f>
        <v>240298.66650229081</v>
      </c>
      <c r="I51">
        <f>(I50-($M$9))*(1+'MF Data '!C235)</f>
        <v>281188.84668446588</v>
      </c>
      <c r="J51">
        <f>(J50-($M$9))*(1+'MF Data '!D235)</f>
        <v>289428.56420326518</v>
      </c>
      <c r="K51">
        <f t="shared" si="1"/>
        <v>810916.07739002188</v>
      </c>
    </row>
    <row r="52" spans="1:11" x14ac:dyDescent="0.25">
      <c r="A52" s="15">
        <f>'MF Data '!A236</f>
        <v>42947</v>
      </c>
      <c r="B52" s="17">
        <f>(B51-$E$9)*(1+'MF Data '!B236)</f>
        <v>716287.04206623673</v>
      </c>
      <c r="C52" s="17">
        <f>(C51-$E$9)*(1+'MF Data '!C236)</f>
        <v>853659.56316663302</v>
      </c>
      <c r="D52" s="17">
        <f>(D51-$E$9)*(1+'MF Data '!D236)</f>
        <v>875116.93551145575</v>
      </c>
      <c r="G52" s="15">
        <f t="shared" si="0"/>
        <v>42947</v>
      </c>
      <c r="H52">
        <f>(H51-($M$9))*(1+'MF Data '!B236)</f>
        <v>238762.34735541185</v>
      </c>
      <c r="I52">
        <f>(I51-($M$9))*(1+'MF Data '!C236)</f>
        <v>284553.18772220996</v>
      </c>
      <c r="J52">
        <f>(J51-($M$9))*(1+'MF Data '!D236)</f>
        <v>291705.64517048426</v>
      </c>
      <c r="K52">
        <f t="shared" si="1"/>
        <v>815021.18024810613</v>
      </c>
    </row>
    <row r="53" spans="1:11" x14ac:dyDescent="0.25">
      <c r="A53" s="15">
        <f>'MF Data '!A237</f>
        <v>42978</v>
      </c>
      <c r="B53" s="17">
        <f>(B52-$E$9)*(1+'MF Data '!B237)</f>
        <v>699536.56205843971</v>
      </c>
      <c r="C53" s="17">
        <f>(C52-$E$9)*(1+'MF Data '!C237)</f>
        <v>860240.85345492256</v>
      </c>
      <c r="D53" s="17">
        <f>(D52-$E$9)*(1+'MF Data '!D237)</f>
        <v>867016.62254450645</v>
      </c>
      <c r="G53" s="15">
        <f t="shared" si="0"/>
        <v>42978</v>
      </c>
      <c r="H53">
        <f>(H52-($M$9))*(1+'MF Data '!B237)</f>
        <v>233178.85401947951</v>
      </c>
      <c r="I53">
        <f>(I52-($M$9))*(1+'MF Data '!C237)</f>
        <v>286746.95115163975</v>
      </c>
      <c r="J53">
        <f>(J52-($M$9))*(1+'MF Data '!D237)</f>
        <v>289005.54084816779</v>
      </c>
      <c r="K53">
        <f t="shared" si="1"/>
        <v>808931.34601928713</v>
      </c>
    </row>
    <row r="54" spans="1:11" x14ac:dyDescent="0.25">
      <c r="A54" s="15">
        <f>'MF Data '!A238</f>
        <v>43007</v>
      </c>
      <c r="B54" s="17">
        <f>(B53-$E$9)*(1+'MF Data '!B238)</f>
        <v>713542.12386530905</v>
      </c>
      <c r="C54" s="17">
        <f>(C53-$E$9)*(1+'MF Data '!C238)</f>
        <v>864882.97051889577</v>
      </c>
      <c r="D54" s="17">
        <f>(D53-$E$9)*(1+'MF Data '!D238)</f>
        <v>874562.83273923059</v>
      </c>
      <c r="G54" s="15">
        <f t="shared" si="0"/>
        <v>43007</v>
      </c>
      <c r="H54">
        <f>(H53-($M$9))*(1+'MF Data '!B238)</f>
        <v>237847.3746217693</v>
      </c>
      <c r="I54">
        <f>(I53-($M$9))*(1+'MF Data '!C238)</f>
        <v>288294.32350629749</v>
      </c>
      <c r="J54">
        <f>(J53-($M$9))*(1+'MF Data '!D238)</f>
        <v>291520.94424640917</v>
      </c>
      <c r="K54">
        <f t="shared" si="1"/>
        <v>817662.64237447595</v>
      </c>
    </row>
    <row r="55" spans="1:11" x14ac:dyDescent="0.25">
      <c r="A55" s="15">
        <f>'MF Data '!A239</f>
        <v>43039</v>
      </c>
      <c r="B55" s="17">
        <f>(B54-$E$9)*(1+'MF Data '!B239)</f>
        <v>714755.60031214624</v>
      </c>
      <c r="C55" s="17">
        <f>(C54-$E$9)*(1+'MF Data '!C239)</f>
        <v>883825.73132041353</v>
      </c>
      <c r="D55" s="17">
        <f>(D54-$E$9)*(1+'MF Data '!D239)</f>
        <v>884746.40506811661</v>
      </c>
      <c r="G55" s="15">
        <f t="shared" si="0"/>
        <v>43039</v>
      </c>
      <c r="H55">
        <f>(H54-($M$9))*(1+'MF Data '!B239)</f>
        <v>238251.86677071505</v>
      </c>
      <c r="I55">
        <f>(I54-($M$9))*(1+'MF Data '!C239)</f>
        <v>294608.57710680336</v>
      </c>
      <c r="J55">
        <f>(J54-($M$9))*(1+'MF Data '!D239)</f>
        <v>294915.4683560378</v>
      </c>
      <c r="K55">
        <f t="shared" si="1"/>
        <v>827775.91223355616</v>
      </c>
    </row>
    <row r="56" spans="1:11" x14ac:dyDescent="0.25">
      <c r="A56" s="15">
        <f>'MF Data '!A240</f>
        <v>43069</v>
      </c>
      <c r="B56" s="17">
        <f>(B55-$E$9)*(1+'MF Data '!B240)</f>
        <v>730977.08761479077</v>
      </c>
      <c r="C56" s="17">
        <f>(C55-$E$9)*(1+'MF Data '!C240)</f>
        <v>908734.85408343468</v>
      </c>
      <c r="D56" s="17">
        <f>(D55-$E$9)*(1+'MF Data '!D240)</f>
        <v>902036.42964827514</v>
      </c>
      <c r="G56" s="15">
        <f t="shared" si="0"/>
        <v>43069</v>
      </c>
      <c r="H56">
        <f>(H55-($M$9))*(1+'MF Data '!B240)</f>
        <v>243659.02920492989</v>
      </c>
      <c r="I56">
        <f>(I55-($M$9))*(1+'MF Data '!C240)</f>
        <v>302911.61802781036</v>
      </c>
      <c r="J56">
        <f>(J55-($M$9))*(1+'MF Data '!D240)</f>
        <v>300678.80988275725</v>
      </c>
      <c r="K56">
        <f t="shared" si="1"/>
        <v>847249.45711549744</v>
      </c>
    </row>
    <row r="57" spans="1:11" x14ac:dyDescent="0.25">
      <c r="A57" s="15">
        <f>'MF Data '!A241</f>
        <v>43098</v>
      </c>
      <c r="B57" s="17">
        <f>(B56-$E$9)*(1+'MF Data '!B241)</f>
        <v>729029.14532696793</v>
      </c>
      <c r="C57" s="17">
        <f>(C56-$E$9)*(1+'MF Data '!C241)</f>
        <v>898986.98262623057</v>
      </c>
      <c r="D57" s="17">
        <f>(D56-$E$9)*(1+'MF Data '!D241)</f>
        <v>901996.251294018</v>
      </c>
      <c r="G57" s="15">
        <f t="shared" si="0"/>
        <v>43098</v>
      </c>
      <c r="H57">
        <f>(H56-($M$9))*(1+'MF Data '!B241)</f>
        <v>243009.71510898895</v>
      </c>
      <c r="I57">
        <f>(I56-($M$9))*(1+'MF Data '!C241)</f>
        <v>299662.32754207565</v>
      </c>
      <c r="J57">
        <f>(J56-($M$9))*(1+'MF Data '!D241)</f>
        <v>300665.41709800484</v>
      </c>
      <c r="K57">
        <f t="shared" si="1"/>
        <v>843337.45974906941</v>
      </c>
    </row>
    <row r="58" spans="1:11" x14ac:dyDescent="0.25">
      <c r="A58" s="15">
        <f>'MF Data '!A242</f>
        <v>43131</v>
      </c>
      <c r="B58" s="17">
        <f>(B57-$E$9)*(1+'MF Data '!B242)</f>
        <v>746823.55982942123</v>
      </c>
      <c r="C58" s="17">
        <f>(C57-$E$9)*(1+'MF Data '!C242)</f>
        <v>952745.83549761854</v>
      </c>
      <c r="D58" s="17">
        <f>(D57-$E$9)*(1+'MF Data '!D242)</f>
        <v>943072.84498693771</v>
      </c>
      <c r="G58" s="15">
        <f t="shared" si="0"/>
        <v>43131</v>
      </c>
      <c r="H58">
        <f>(H57-($M$9))*(1+'MF Data '!B242)</f>
        <v>248941.18660980673</v>
      </c>
      <c r="I58">
        <f>(I57-($M$9))*(1+'MF Data '!C242)</f>
        <v>317581.94516587153</v>
      </c>
      <c r="J58">
        <f>(J57-($M$9))*(1+'MF Data '!D242)</f>
        <v>314357.61499564466</v>
      </c>
      <c r="K58">
        <f t="shared" si="1"/>
        <v>880880.74677132291</v>
      </c>
    </row>
    <row r="59" spans="1:11" x14ac:dyDescent="0.25">
      <c r="A59" s="15">
        <f>'MF Data '!A243</f>
        <v>43159</v>
      </c>
      <c r="B59" s="17">
        <f>(B58-$E$9)*(1+'MF Data '!B243)</f>
        <v>701166.99579738243</v>
      </c>
      <c r="C59" s="17">
        <f>(C58-$E$9)*(1+'MF Data '!C243)</f>
        <v>926239.96506062464</v>
      </c>
      <c r="D59" s="17">
        <f>(D58-$E$9)*(1+'MF Data '!D243)</f>
        <v>898680.95011799852</v>
      </c>
      <c r="G59" s="15">
        <f t="shared" si="0"/>
        <v>43159</v>
      </c>
      <c r="H59">
        <f>(H58-($M$9))*(1+'MF Data '!B243)</f>
        <v>233722.33193246051</v>
      </c>
      <c r="I59">
        <f>(I58-($M$9))*(1+'MF Data '!C243)</f>
        <v>308746.65502020688</v>
      </c>
      <c r="J59">
        <f>(J58-($M$9))*(1+'MF Data '!D243)</f>
        <v>299560.31670599827</v>
      </c>
      <c r="K59">
        <f t="shared" si="1"/>
        <v>842029.30365866562</v>
      </c>
    </row>
    <row r="60" spans="1:11" x14ac:dyDescent="0.25">
      <c r="A60" s="15">
        <f>'MF Data '!A244</f>
        <v>43188</v>
      </c>
      <c r="B60" s="17">
        <f>(B59-$E$9)*(1+'MF Data '!B244)</f>
        <v>675047.96940753702</v>
      </c>
      <c r="C60" s="17">
        <f>(C59-$E$9)*(1+'MF Data '!C244)</f>
        <v>885025.14261894161</v>
      </c>
      <c r="D60" s="17">
        <f>(D59-$E$9)*(1+'MF Data '!D244)</f>
        <v>865005.66899083671</v>
      </c>
      <c r="G60" s="15">
        <f t="shared" si="0"/>
        <v>43188</v>
      </c>
      <c r="H60">
        <f>(H59-($M$9))*(1+'MF Data '!B244)</f>
        <v>225015.98980251205</v>
      </c>
      <c r="I60">
        <f>(I59-($M$9))*(1+'MF Data '!C244)</f>
        <v>295008.38087297924</v>
      </c>
      <c r="J60">
        <f>(J59-($M$9))*(1+'MF Data '!D244)</f>
        <v>288335.22299694439</v>
      </c>
      <c r="K60">
        <f t="shared" si="1"/>
        <v>808359.59367243573</v>
      </c>
    </row>
    <row r="61" spans="1:11" x14ac:dyDescent="0.25">
      <c r="A61" s="15">
        <f>'MF Data '!A245</f>
        <v>43220</v>
      </c>
      <c r="B61" s="17">
        <f>(B60-$E$9)*(1+'MF Data '!B245)</f>
        <v>663922.01179175708</v>
      </c>
      <c r="C61" s="17">
        <f>(C60-$E$9)*(1+'MF Data '!C245)</f>
        <v>878739.30763872492</v>
      </c>
      <c r="D61" s="17">
        <f>(D60-$E$9)*(1+'MF Data '!D245)</f>
        <v>857440.00940092234</v>
      </c>
      <c r="G61" s="15">
        <f t="shared" si="0"/>
        <v>43220</v>
      </c>
      <c r="H61">
        <f>(H60-($M$9))*(1+'MF Data '!B245)</f>
        <v>221307.33726391874</v>
      </c>
      <c r="I61">
        <f>(I60-($M$9))*(1+'MF Data '!C245)</f>
        <v>292913.10254624032</v>
      </c>
      <c r="J61">
        <f>(J60-($M$9))*(1+'MF Data '!D245)</f>
        <v>285813.33646697289</v>
      </c>
      <c r="K61">
        <f t="shared" si="1"/>
        <v>800033.77627713187</v>
      </c>
    </row>
    <row r="62" spans="1:11" x14ac:dyDescent="0.25">
      <c r="A62" s="15">
        <f>'MF Data '!A246</f>
        <v>43251</v>
      </c>
      <c r="B62" s="17">
        <f>(B61-$E$9)*(1+'MF Data '!B246)</f>
        <v>663370.57472134219</v>
      </c>
      <c r="C62" s="17">
        <f>(C61-$E$9)*(1+'MF Data '!C246)</f>
        <v>909114.00125344878</v>
      </c>
      <c r="D62" s="17">
        <f>(D61-$E$9)*(1+'MF Data '!D246)</f>
        <v>867287.26595221134</v>
      </c>
      <c r="G62" s="15">
        <f t="shared" si="0"/>
        <v>43251</v>
      </c>
      <c r="H62">
        <f>(H61-($M$9))*(1+'MF Data '!B246)</f>
        <v>221123.52490711378</v>
      </c>
      <c r="I62">
        <f>(I61-($M$9))*(1+'MF Data '!C246)</f>
        <v>303038.00041781488</v>
      </c>
      <c r="J62">
        <f>(J61-($M$9))*(1+'MF Data '!D246)</f>
        <v>289095.75531740254</v>
      </c>
      <c r="K62">
        <f t="shared" si="1"/>
        <v>813257.28064233123</v>
      </c>
    </row>
    <row r="63" spans="1:11" x14ac:dyDescent="0.25">
      <c r="A63" s="15">
        <f>'MF Data '!A247</f>
        <v>43280</v>
      </c>
      <c r="B63" s="17">
        <f>(B62-$E$9)*(1+'MF Data '!B247)</f>
        <v>650888.35139243549</v>
      </c>
      <c r="C63" s="17">
        <f>(C62-$E$9)*(1+'MF Data '!C247)</f>
        <v>899542.52048137819</v>
      </c>
      <c r="D63" s="17">
        <f>(D62-$E$9)*(1+'MF Data '!D247)</f>
        <v>861409.42633755098</v>
      </c>
      <c r="G63" s="15">
        <f t="shared" si="0"/>
        <v>43280</v>
      </c>
      <c r="H63">
        <f>(H62-($M$9))*(1+'MF Data '!B247)</f>
        <v>216962.78379747822</v>
      </c>
      <c r="I63">
        <f>(I62-($M$9))*(1+'MF Data '!C247)</f>
        <v>299847.50682712469</v>
      </c>
      <c r="J63">
        <f>(J62-($M$9))*(1+'MF Data '!D247)</f>
        <v>287136.47544584906</v>
      </c>
      <c r="K63">
        <f t="shared" si="1"/>
        <v>803946.76607045205</v>
      </c>
    </row>
    <row r="64" spans="1:11" x14ac:dyDescent="0.25">
      <c r="A64" s="15">
        <f>'MF Data '!A248</f>
        <v>43312</v>
      </c>
      <c r="B64" s="17">
        <f>(B63-$E$9)*(1+'MF Data '!B248)</f>
        <v>668377.06987468537</v>
      </c>
      <c r="C64" s="17">
        <f>(C63-$E$9)*(1+'MF Data '!C248)</f>
        <v>904404.86338490271</v>
      </c>
      <c r="D64" s="17">
        <f>(D63-$E$9)*(1+'MF Data '!D248)</f>
        <v>883551.30448525341</v>
      </c>
      <c r="G64" s="15">
        <f t="shared" si="0"/>
        <v>43312</v>
      </c>
      <c r="H64">
        <f>(H63-($M$9))*(1+'MF Data '!B248)</f>
        <v>222792.35662489483</v>
      </c>
      <c r="I64">
        <f>(I63-($M$9))*(1+'MF Data '!C248)</f>
        <v>301468.28779496613</v>
      </c>
      <c r="J64">
        <f>(J63-($M$9))*(1+'MF Data '!D248)</f>
        <v>294517.10149508313</v>
      </c>
      <c r="K64">
        <f t="shared" si="1"/>
        <v>818777.7459149441</v>
      </c>
    </row>
    <row r="65" spans="1:11" x14ac:dyDescent="0.25">
      <c r="A65" s="15">
        <f>'MF Data '!A249</f>
        <v>43343</v>
      </c>
      <c r="B65" s="17">
        <f>(B64-$E$9)*(1+'MF Data '!B249)</f>
        <v>666043.11611875996</v>
      </c>
      <c r="C65" s="17">
        <f>(C64-$E$9)*(1+'MF Data '!C249)</f>
        <v>949698.31992755306</v>
      </c>
      <c r="D65" s="17">
        <f>(D64-$E$9)*(1+'MF Data '!D249)</f>
        <v>901615.84764868452</v>
      </c>
      <c r="G65" s="15">
        <f t="shared" si="0"/>
        <v>43343</v>
      </c>
      <c r="H65">
        <f>(H64-($M$9))*(1+'MF Data '!B249)</f>
        <v>222014.37203958636</v>
      </c>
      <c r="I65">
        <f>(I64-($M$9))*(1+'MF Data '!C249)</f>
        <v>316566.10664251616</v>
      </c>
      <c r="J65">
        <f>(J64-($M$9))*(1+'MF Data '!D249)</f>
        <v>300538.61588289344</v>
      </c>
      <c r="K65">
        <f t="shared" si="1"/>
        <v>839119.09456499596</v>
      </c>
    </row>
    <row r="66" spans="1:11" x14ac:dyDescent="0.25">
      <c r="A66" s="15">
        <f>'MF Data '!A250</f>
        <v>43371</v>
      </c>
      <c r="B66" s="17">
        <f>(B65-$E$9)*(1+'MF Data '!B250)</f>
        <v>658272.7932642739</v>
      </c>
      <c r="C66" s="17">
        <f>(C65-$E$9)*(1+'MF Data '!C250)</f>
        <v>941427.8898681876</v>
      </c>
      <c r="D66" s="17">
        <f>(D65-$E$9)*(1+'MF Data '!D250)</f>
        <v>896322.5267396745</v>
      </c>
      <c r="G66" s="15">
        <f t="shared" si="0"/>
        <v>43371</v>
      </c>
      <c r="H66">
        <f>(H65-($M$9))*(1+'MF Data '!B250)</f>
        <v>219424.26442142436</v>
      </c>
      <c r="I66">
        <f>(I65-($M$9))*(1+'MF Data '!C250)</f>
        <v>313809.29662272765</v>
      </c>
      <c r="J66">
        <f>(J65-($M$9))*(1+'MF Data '!D250)</f>
        <v>298774.17557989008</v>
      </c>
      <c r="K66">
        <f t="shared" si="1"/>
        <v>832007.73662404204</v>
      </c>
    </row>
    <row r="67" spans="1:11" x14ac:dyDescent="0.25">
      <c r="A67" s="15">
        <f>'MF Data '!A251</f>
        <v>43404</v>
      </c>
      <c r="B67" s="17">
        <f>(B66-$E$9)*(1+'MF Data '!B251)</f>
        <v>609257.22710739728</v>
      </c>
      <c r="C67" s="17">
        <f>(C66-$E$9)*(1+'MF Data '!C251)</f>
        <v>821814.7010461702</v>
      </c>
      <c r="D67" s="17">
        <f>(D66-$E$9)*(1+'MF Data '!D251)</f>
        <v>825447.67525629466</v>
      </c>
      <c r="G67" s="15">
        <f t="shared" si="0"/>
        <v>43404</v>
      </c>
      <c r="H67">
        <f>(H66-($M$9))*(1+'MF Data '!B251)</f>
        <v>203085.7423691322</v>
      </c>
      <c r="I67">
        <f>(I66-($M$9))*(1+'MF Data '!C251)</f>
        <v>273938.23368205538</v>
      </c>
      <c r="J67">
        <f>(J66-($M$9))*(1+'MF Data '!D251)</f>
        <v>275149.2250854302</v>
      </c>
      <c r="K67">
        <f t="shared" si="1"/>
        <v>752173.2011366178</v>
      </c>
    </row>
    <row r="68" spans="1:11" x14ac:dyDescent="0.25">
      <c r="A68" s="15">
        <f>'MF Data '!A252</f>
        <v>43434</v>
      </c>
      <c r="B68" s="17">
        <f>(B67-$E$9)*(1+'MF Data '!B252)</f>
        <v>610484.86051165417</v>
      </c>
      <c r="C68" s="17">
        <f>(C67-$E$9)*(1+'MF Data '!C252)</f>
        <v>822120.7219443887</v>
      </c>
      <c r="D68" s="17">
        <f>(D67-$E$9)*(1+'MF Data '!D252)</f>
        <v>824544.76957449305</v>
      </c>
      <c r="G68" s="15">
        <f t="shared" si="0"/>
        <v>43434</v>
      </c>
      <c r="H68">
        <f>(H67-($M$9))*(1+'MF Data '!B252)</f>
        <v>203494.95350388449</v>
      </c>
      <c r="I68">
        <f>(I67-($M$9))*(1+'MF Data '!C252)</f>
        <v>274040.24064812815</v>
      </c>
      <c r="J68">
        <f>(J67-($M$9))*(1+'MF Data '!D252)</f>
        <v>274848.25652482966</v>
      </c>
      <c r="K68">
        <f t="shared" si="1"/>
        <v>752383.45067684236</v>
      </c>
    </row>
    <row r="69" spans="1:11" x14ac:dyDescent="0.25">
      <c r="A69" s="15">
        <f>'MF Data '!A253</f>
        <v>43465</v>
      </c>
      <c r="B69" s="17">
        <f>(B68-$E$9)*(1+'MF Data '!B253)</f>
        <v>542218.17122342531</v>
      </c>
      <c r="C69" s="17">
        <f>(C68-$E$9)*(1+'MF Data '!C253)</f>
        <v>733009.55482234852</v>
      </c>
      <c r="D69" s="17">
        <f>(D68-$E$9)*(1+'MF Data '!D253)</f>
        <v>740643.30581299611</v>
      </c>
      <c r="G69" s="15">
        <f t="shared" si="0"/>
        <v>43465</v>
      </c>
      <c r="H69">
        <f>(H68-($M$9))*(1+'MF Data '!B253)</f>
        <v>180739.39040780824</v>
      </c>
      <c r="I69">
        <f>(I68-($M$9))*(1+'MF Data '!C253)</f>
        <v>244336.51827411487</v>
      </c>
      <c r="J69">
        <f>(J68-($M$9))*(1+'MF Data '!D253)</f>
        <v>246881.10193766412</v>
      </c>
      <c r="K69">
        <f t="shared" si="1"/>
        <v>671957.01061958726</v>
      </c>
    </row>
    <row r="70" spans="1:11" x14ac:dyDescent="0.25">
      <c r="A70" s="15">
        <f>'MF Data '!A254</f>
        <v>43496</v>
      </c>
      <c r="B70" s="17">
        <f>(B69-$E$9)*(1+'MF Data '!B254)</f>
        <v>567592.55971658579</v>
      </c>
      <c r="C70" s="17">
        <f>(C69-$E$9)*(1+'MF Data '!C254)</f>
        <v>793526.5779881241</v>
      </c>
      <c r="D70" s="17">
        <f>(D69-$E$9)*(1+'MF Data '!D254)</f>
        <v>788329.94875488093</v>
      </c>
      <c r="G70" s="15">
        <f t="shared" si="0"/>
        <v>43496</v>
      </c>
      <c r="H70">
        <f>(H69-($M$9))*(1+'MF Data '!B254)</f>
        <v>189197.51990552837</v>
      </c>
      <c r="I70">
        <f>(I69-($M$9))*(1+'MF Data '!C254)</f>
        <v>264508.85932937328</v>
      </c>
      <c r="J70">
        <f>(J69-($M$9))*(1+'MF Data '!D254)</f>
        <v>262776.64958495897</v>
      </c>
      <c r="K70">
        <f t="shared" si="1"/>
        <v>716483.02881986066</v>
      </c>
    </row>
    <row r="71" spans="1:11" x14ac:dyDescent="0.25">
      <c r="A71" s="15">
        <f>'MF Data '!A255</f>
        <v>43524</v>
      </c>
      <c r="B71" s="17">
        <f>(B70-$E$9)*(1+'MF Data '!B255)</f>
        <v>573602.00498217077</v>
      </c>
      <c r="C71" s="17">
        <f>(C70-$E$9)*(1+'MF Data '!C255)</f>
        <v>810409.69577344996</v>
      </c>
      <c r="D71" s="17">
        <f>(D70-$E$9)*(1+'MF Data '!D255)</f>
        <v>802905.75547964929</v>
      </c>
      <c r="G71" s="15">
        <f t="shared" si="0"/>
        <v>43524</v>
      </c>
      <c r="H71">
        <f>(H70-($M$9))*(1+'MF Data '!B255)</f>
        <v>191200.66832739004</v>
      </c>
      <c r="I71">
        <f>(I70-($M$9))*(1+'MF Data '!C255)</f>
        <v>270136.56525781518</v>
      </c>
      <c r="J71">
        <f>(J70-($M$9))*(1+'MF Data '!D255)</f>
        <v>267635.25182654837</v>
      </c>
      <c r="K71">
        <f t="shared" si="1"/>
        <v>728972.48541175365</v>
      </c>
    </row>
    <row r="72" spans="1:11" x14ac:dyDescent="0.25">
      <c r="A72" s="15">
        <f>'MF Data '!A256</f>
        <v>43553</v>
      </c>
      <c r="B72" s="17">
        <f>(B71-$E$9)*(1+'MF Data '!B256)</f>
        <v>567352.67194104486</v>
      </c>
      <c r="C72" s="17">
        <f>(C71-$E$9)*(1+'MF Data '!C256)</f>
        <v>817024.51754216652</v>
      </c>
      <c r="D72" s="17">
        <f>(D71-$E$9)*(1+'MF Data '!D256)</f>
        <v>807377.56270683196</v>
      </c>
      <c r="G72" s="15">
        <f t="shared" si="0"/>
        <v>43553</v>
      </c>
      <c r="H72">
        <f>(H71-($M$9))*(1+'MF Data '!B256)</f>
        <v>189117.55731368141</v>
      </c>
      <c r="I72">
        <f>(I71-($M$9))*(1+'MF Data '!C256)</f>
        <v>272341.50584738731</v>
      </c>
      <c r="J72">
        <f>(J71-($M$9))*(1+'MF Data '!D256)</f>
        <v>269125.85423560924</v>
      </c>
      <c r="K72">
        <f t="shared" si="1"/>
        <v>730584.91739667789</v>
      </c>
    </row>
    <row r="73" spans="1:11" x14ac:dyDescent="0.25">
      <c r="A73" s="15">
        <f>'MF Data '!A257</f>
        <v>43585</v>
      </c>
      <c r="B73" s="17">
        <f>(B72-$E$9)*(1+'MF Data '!B257)</f>
        <v>578774.54851556884</v>
      </c>
      <c r="C73" s="17">
        <f>(C72-$E$9)*(1+'MF Data '!C257)</f>
        <v>843517.20134072972</v>
      </c>
      <c r="D73" s="17">
        <f>(D72-$E$9)*(1+'MF Data '!D257)</f>
        <v>829695.50834530813</v>
      </c>
      <c r="G73" s="15">
        <f t="shared" si="0"/>
        <v>43585</v>
      </c>
      <c r="H73">
        <f>(H72-($M$9))*(1+'MF Data '!B257)</f>
        <v>192924.84950518937</v>
      </c>
      <c r="I73">
        <f>(I72-($M$9))*(1+'MF Data '!C257)</f>
        <v>281172.40044690826</v>
      </c>
      <c r="J73">
        <f>(J72-($M$9))*(1+'MF Data '!D257)</f>
        <v>276565.16944843455</v>
      </c>
      <c r="K73">
        <f t="shared" si="1"/>
        <v>750662.41940053226</v>
      </c>
    </row>
    <row r="74" spans="1:11" x14ac:dyDescent="0.25">
      <c r="A74" s="15">
        <f>'MF Data '!A258</f>
        <v>43616</v>
      </c>
      <c r="B74" s="17">
        <f>(B73-$E$9)*(1+'MF Data '!B258)</f>
        <v>536723.19285887689</v>
      </c>
      <c r="C74" s="17">
        <f>(C73-$E$9)*(1+'MF Data '!C258)</f>
        <v>777838.9493477192</v>
      </c>
      <c r="D74" s="17">
        <f>(D73-$E$9)*(1+'MF Data '!D258)</f>
        <v>766740.96969080088</v>
      </c>
      <c r="G74" s="15">
        <f t="shared" si="0"/>
        <v>43616</v>
      </c>
      <c r="H74">
        <f>(H73-($M$9))*(1+'MF Data '!B258)</f>
        <v>178907.73095295872</v>
      </c>
      <c r="I74">
        <f>(I73-($M$9))*(1+'MF Data '!C258)</f>
        <v>259279.64978257151</v>
      </c>
      <c r="J74">
        <f>(J73-($M$9))*(1+'MF Data '!D258)</f>
        <v>255580.32323026555</v>
      </c>
      <c r="K74">
        <f t="shared" si="1"/>
        <v>693767.70396579581</v>
      </c>
    </row>
    <row r="75" spans="1:11" x14ac:dyDescent="0.25">
      <c r="A75" s="15">
        <f>'MF Data '!A259</f>
        <v>43644</v>
      </c>
      <c r="B75" s="17">
        <f>(B74-$E$9)*(1+'MF Data '!B259)</f>
        <v>559388.32991894661</v>
      </c>
      <c r="C75" s="17">
        <f>(C74-$E$9)*(1+'MF Data '!C259)</f>
        <v>822034.84441444639</v>
      </c>
      <c r="D75" s="17">
        <f>(D74-$E$9)*(1+'MF Data '!D259)</f>
        <v>809682.82310749521</v>
      </c>
      <c r="G75" s="15">
        <f t="shared" ref="G75:G138" si="2">A75</f>
        <v>43644</v>
      </c>
      <c r="H75">
        <f>(H74-($M$9))*(1+'MF Data '!B259)</f>
        <v>186462.77663964863</v>
      </c>
      <c r="I75">
        <f>(I74-($M$9))*(1+'MF Data '!C259)</f>
        <v>274011.61480481381</v>
      </c>
      <c r="J75">
        <f>(J74-($M$9))*(1+'MF Data '!D259)</f>
        <v>269894.27436916356</v>
      </c>
      <c r="K75">
        <f t="shared" ref="K75:K138" si="3">SUM(H75:J75)</f>
        <v>730368.66581362602</v>
      </c>
    </row>
    <row r="76" spans="1:11" x14ac:dyDescent="0.25">
      <c r="A76" s="15">
        <f>'MF Data '!A260</f>
        <v>43677</v>
      </c>
      <c r="B76" s="17">
        <f>(B75-$E$9)*(1+'MF Data '!B260)</f>
        <v>555897.22491277882</v>
      </c>
      <c r="C76" s="17">
        <f>(C75-$E$9)*(1+'MF Data '!C260)</f>
        <v>822627.04115212406</v>
      </c>
      <c r="D76" s="17">
        <f>(D75-$E$9)*(1+'MF Data '!D260)</f>
        <v>810527.24801993521</v>
      </c>
      <c r="G76" s="15">
        <f t="shared" si="2"/>
        <v>43677</v>
      </c>
      <c r="H76">
        <f>(H75-($M$9))*(1+'MF Data '!B260)</f>
        <v>185299.07497092604</v>
      </c>
      <c r="I76">
        <f>(I75-($M$9))*(1+'MF Data '!C260)</f>
        <v>274209.01371737302</v>
      </c>
      <c r="J76">
        <f>(J75-($M$9))*(1+'MF Data '!D260)</f>
        <v>270175.74933997681</v>
      </c>
      <c r="K76">
        <f t="shared" si="3"/>
        <v>729683.83802827587</v>
      </c>
    </row>
    <row r="77" spans="1:11" x14ac:dyDescent="0.25">
      <c r="A77" s="15">
        <f>'MF Data '!A261</f>
        <v>43707</v>
      </c>
      <c r="B77" s="17">
        <f>(B76-$E$9)*(1+'MF Data '!B261)</f>
        <v>537339.98094300122</v>
      </c>
      <c r="C77" s="17">
        <f>(C76-$E$9)*(1+'MF Data '!C261)</f>
        <v>804917.94272787648</v>
      </c>
      <c r="D77" s="17">
        <f>(D76-$E$9)*(1+'MF Data '!D261)</f>
        <v>786921.5199187916</v>
      </c>
      <c r="G77" s="15">
        <f t="shared" si="2"/>
        <v>43707</v>
      </c>
      <c r="H77">
        <f>(H76-($M$9))*(1+'MF Data '!B261)</f>
        <v>179113.32698100019</v>
      </c>
      <c r="I77">
        <f>(I76-($M$9))*(1+'MF Data '!C261)</f>
        <v>268305.98090929049</v>
      </c>
      <c r="J77">
        <f>(J76-($M$9))*(1+'MF Data '!D261)</f>
        <v>262307.1733062623</v>
      </c>
      <c r="K77">
        <f t="shared" si="3"/>
        <v>709726.48119655298</v>
      </c>
    </row>
    <row r="78" spans="1:11" x14ac:dyDescent="0.25">
      <c r="A78" s="15">
        <f>'MF Data '!A262</f>
        <v>43738</v>
      </c>
      <c r="B78" s="17">
        <f>(B77-$E$9)*(1+'MF Data '!B262)</f>
        <v>540681.27264316368</v>
      </c>
      <c r="C78" s="17">
        <f>(C77-$E$9)*(1+'MF Data '!C262)</f>
        <v>777416.582555303</v>
      </c>
      <c r="D78" s="17">
        <f>(D77-$E$9)*(1+'MF Data '!D262)</f>
        <v>791086.22741859243</v>
      </c>
      <c r="G78" s="15">
        <f t="shared" si="2"/>
        <v>43738</v>
      </c>
      <c r="H78">
        <f>(H77-($M$9))*(1+'MF Data '!B262)</f>
        <v>180227.09088105435</v>
      </c>
      <c r="I78">
        <f>(I77-($M$9))*(1+'MF Data '!C262)</f>
        <v>259138.86085176599</v>
      </c>
      <c r="J78">
        <f>(J77-($M$9))*(1+'MF Data '!D262)</f>
        <v>263695.40913952922</v>
      </c>
      <c r="K78">
        <f t="shared" si="3"/>
        <v>703061.36087234959</v>
      </c>
    </row>
    <row r="79" spans="1:11" x14ac:dyDescent="0.25">
      <c r="A79" s="15">
        <f>'MF Data '!A263</f>
        <v>43769</v>
      </c>
      <c r="B79" s="17">
        <f>(B78-$E$9)*(1+'MF Data '!B263)</f>
        <v>530424.86238675343</v>
      </c>
      <c r="C79" s="17">
        <f>(C78-$E$9)*(1+'MF Data '!C263)</f>
        <v>788715.83882014698</v>
      </c>
      <c r="D79" s="17">
        <f>(D78-$E$9)*(1+'MF Data '!D263)</f>
        <v>797759.76925789262</v>
      </c>
      <c r="G79" s="15">
        <f t="shared" si="2"/>
        <v>43769</v>
      </c>
      <c r="H79">
        <f>(H78-($M$9))*(1+'MF Data '!B263)</f>
        <v>176808.28746225094</v>
      </c>
      <c r="I79">
        <f>(I78-($M$9))*(1+'MF Data '!C263)</f>
        <v>262905.27960671397</v>
      </c>
      <c r="J79">
        <f>(J78-($M$9))*(1+'MF Data '!D263)</f>
        <v>265919.9230859626</v>
      </c>
      <c r="K79">
        <f t="shared" si="3"/>
        <v>705633.4901549276</v>
      </c>
    </row>
    <row r="80" spans="1:11" x14ac:dyDescent="0.25">
      <c r="A80" s="15">
        <f>'MF Data '!A264</f>
        <v>43798</v>
      </c>
      <c r="B80" s="17">
        <f>(B79-$E$9)*(1+'MF Data '!B264)</f>
        <v>533794.7849023497</v>
      </c>
      <c r="C80" s="17">
        <f>(C79-$E$9)*(1+'MF Data '!C264)</f>
        <v>826385.28328326321</v>
      </c>
      <c r="D80" s="17">
        <f>(D79-$E$9)*(1+'MF Data '!D264)</f>
        <v>816033.03069138806</v>
      </c>
      <c r="G80" s="15">
        <f t="shared" si="2"/>
        <v>43798</v>
      </c>
      <c r="H80">
        <f>(H79-($M$9))*(1+'MF Data '!B264)</f>
        <v>177931.5949674497</v>
      </c>
      <c r="I80">
        <f>(I79-($M$9))*(1+'MF Data '!C264)</f>
        <v>275461.76109441929</v>
      </c>
      <c r="J80">
        <f>(J79-($M$9))*(1+'MF Data '!D264)</f>
        <v>272011.01023046096</v>
      </c>
      <c r="K80">
        <f t="shared" si="3"/>
        <v>725404.36629232997</v>
      </c>
    </row>
    <row r="81" spans="1:11" x14ac:dyDescent="0.25">
      <c r="A81" s="15">
        <f>'MF Data '!A265</f>
        <v>43830</v>
      </c>
      <c r="B81" s="17">
        <f>(B80-$E$9)*(1+'MF Data '!B265)</f>
        <v>541709.3445531507</v>
      </c>
      <c r="C81" s="17">
        <f>(C80-$E$9)*(1+'MF Data '!C265)</f>
        <v>833647.89541524742</v>
      </c>
      <c r="D81" s="17">
        <f>(D80-$E$9)*(1+'MF Data '!D265)</f>
        <v>829571.20403642277</v>
      </c>
      <c r="G81" s="15">
        <f t="shared" si="2"/>
        <v>43830</v>
      </c>
      <c r="H81">
        <f>(H80-($M$9))*(1+'MF Data '!B265)</f>
        <v>180569.78151771671</v>
      </c>
      <c r="I81">
        <f>(I80-($M$9))*(1+'MF Data '!C265)</f>
        <v>277882.63180508063</v>
      </c>
      <c r="J81">
        <f>(J80-($M$9))*(1+'MF Data '!D265)</f>
        <v>276523.73467880581</v>
      </c>
      <c r="K81">
        <f t="shared" si="3"/>
        <v>734976.14800160308</v>
      </c>
    </row>
    <row r="82" spans="1:11" x14ac:dyDescent="0.25">
      <c r="A82" s="15">
        <f>'MF Data '!A266</f>
        <v>43861</v>
      </c>
      <c r="B82" s="17">
        <f>(B81-$E$9)*(1+'MF Data '!B266)</f>
        <v>516626.99178866431</v>
      </c>
      <c r="C82" s="17">
        <f>(C81-$E$9)*(1+'MF Data '!C266)</f>
        <v>849501.2291532238</v>
      </c>
      <c r="D82" s="17">
        <f>(D81-$E$9)*(1+'MF Data '!D266)</f>
        <v>818456.15187613107</v>
      </c>
      <c r="G82" s="15">
        <f t="shared" si="2"/>
        <v>43861</v>
      </c>
      <c r="H82">
        <f>(H81-($M$9))*(1+'MF Data '!B266)</f>
        <v>172208.99726288792</v>
      </c>
      <c r="I82">
        <f>(I81-($M$9))*(1+'MF Data '!C266)</f>
        <v>283167.07638440601</v>
      </c>
      <c r="J82">
        <f>(J81-($M$9))*(1+'MF Data '!D266)</f>
        <v>272818.71729204187</v>
      </c>
      <c r="K82">
        <f t="shared" si="3"/>
        <v>728194.79093933583</v>
      </c>
    </row>
    <row r="83" spans="1:11" x14ac:dyDescent="0.25">
      <c r="A83" s="15">
        <f>'MF Data '!A267</f>
        <v>43889</v>
      </c>
      <c r="B83" s="17">
        <f>(B82-$E$9)*(1+'MF Data '!B267)</f>
        <v>448616.99122617434</v>
      </c>
      <c r="C83" s="17">
        <f>(C82-$E$9)*(1+'MF Data '!C267)</f>
        <v>786592.27744886535</v>
      </c>
      <c r="D83" s="17">
        <f>(D82-$E$9)*(1+'MF Data '!D267)</f>
        <v>741344.65079319582</v>
      </c>
      <c r="G83" s="15">
        <f t="shared" si="2"/>
        <v>43889</v>
      </c>
      <c r="H83">
        <f>(H82-($M$9))*(1+'MF Data '!B267)</f>
        <v>149538.99707539129</v>
      </c>
      <c r="I83">
        <f>(I82-($M$9))*(1+'MF Data '!C267)</f>
        <v>262197.42581628659</v>
      </c>
      <c r="J83">
        <f>(J82-($M$9))*(1+'MF Data '!D267)</f>
        <v>247114.88359773025</v>
      </c>
      <c r="K83">
        <f t="shared" si="3"/>
        <v>658851.30648940813</v>
      </c>
    </row>
    <row r="84" spans="1:11" x14ac:dyDescent="0.25">
      <c r="A84" s="15">
        <f>'MF Data '!A268</f>
        <v>43921</v>
      </c>
      <c r="B84" s="17">
        <f>(B83-$E$9)*(1+'MF Data '!B268)</f>
        <v>374281.03124360397</v>
      </c>
      <c r="C84" s="17">
        <f>(C83-$E$9)*(1+'MF Data '!C268)</f>
        <v>694712.69045170757</v>
      </c>
      <c r="D84" s="17">
        <f>(D83-$E$9)*(1+'MF Data '!D268)</f>
        <v>640291.46759155998</v>
      </c>
      <c r="G84" s="15">
        <f t="shared" si="2"/>
        <v>43921</v>
      </c>
      <c r="H84">
        <f>(H83-($M$9))*(1+'MF Data '!B268)</f>
        <v>124760.34374786787</v>
      </c>
      <c r="I84">
        <f>(I83-($M$9))*(1+'MF Data '!C268)</f>
        <v>231570.8968172342</v>
      </c>
      <c r="J84">
        <f>(J83-($M$9))*(1+'MF Data '!D268)</f>
        <v>213430.4891971852</v>
      </c>
      <c r="K84">
        <f t="shared" si="3"/>
        <v>569761.72976228734</v>
      </c>
    </row>
    <row r="85" spans="1:11" x14ac:dyDescent="0.25">
      <c r="A85" s="15">
        <f>'MF Data '!A269</f>
        <v>43951</v>
      </c>
      <c r="B85" s="17">
        <f>(B84-$E$9)*(1+'MF Data '!B269)</f>
        <v>405698.52362242865</v>
      </c>
      <c r="C85" s="17">
        <f>(C84-$E$9)*(1+'MF Data '!C269)</f>
        <v>793058.95817388524</v>
      </c>
      <c r="D85" s="17">
        <f>(D84-$E$9)*(1+'MF Data '!D269)</f>
        <v>710649.93302635418</v>
      </c>
      <c r="G85" s="15">
        <f t="shared" si="2"/>
        <v>43951</v>
      </c>
      <c r="H85">
        <f>(H84-($M$9))*(1+'MF Data '!B269)</f>
        <v>135232.84120747607</v>
      </c>
      <c r="I85">
        <f>(I84-($M$9))*(1+'MF Data '!C269)</f>
        <v>264352.98605795985</v>
      </c>
      <c r="J85">
        <f>(J84-($M$9))*(1+'MF Data '!D269)</f>
        <v>236883.31100878309</v>
      </c>
      <c r="K85">
        <f t="shared" si="3"/>
        <v>636469.138274219</v>
      </c>
    </row>
    <row r="86" spans="1:11" x14ac:dyDescent="0.25">
      <c r="A86" s="15">
        <f>'MF Data '!A270</f>
        <v>43980</v>
      </c>
      <c r="B86" s="17">
        <f>(B85-$E$9)*(1+'MF Data '!B270)</f>
        <v>412454.03308302455</v>
      </c>
      <c r="C86" s="17">
        <f>(C85-$E$9)*(1+'MF Data '!C270)</f>
        <v>840485.70206841792</v>
      </c>
      <c r="D86" s="17">
        <f>(D85-$E$9)*(1+'MF Data '!D270)</f>
        <v>733531.94190628116</v>
      </c>
      <c r="G86" s="15">
        <f t="shared" si="2"/>
        <v>43980</v>
      </c>
      <c r="H86">
        <f>(H85-($M$9))*(1+'MF Data '!B270)</f>
        <v>137484.67769434137</v>
      </c>
      <c r="I86">
        <f>(I85-($M$9))*(1+'MF Data '!C270)</f>
        <v>280161.90068947058</v>
      </c>
      <c r="J86">
        <f>(J85-($M$9))*(1+'MF Data '!D270)</f>
        <v>244510.64730209199</v>
      </c>
      <c r="K86">
        <f t="shared" si="3"/>
        <v>662157.22568590404</v>
      </c>
    </row>
    <row r="87" spans="1:11" x14ac:dyDescent="0.25">
      <c r="A87" s="15">
        <f>'MF Data '!A271</f>
        <v>44012</v>
      </c>
      <c r="B87" s="17">
        <f>(B86-$E$9)*(1+'MF Data '!B271)</f>
        <v>397349.53268106229</v>
      </c>
      <c r="C87" s="17">
        <f>(C86-$E$9)*(1+'MF Data '!C271)</f>
        <v>871828.76070754009</v>
      </c>
      <c r="D87" s="17">
        <f>(D86-$E$9)*(1+'MF Data '!D271)</f>
        <v>737509.59411274036</v>
      </c>
      <c r="G87" s="15">
        <f t="shared" si="2"/>
        <v>44012</v>
      </c>
      <c r="H87">
        <f>(H86-($M$9))*(1+'MF Data '!B271)</f>
        <v>132449.84422702063</v>
      </c>
      <c r="I87">
        <f>(I86-($M$9))*(1+'MF Data '!C271)</f>
        <v>290609.58690251119</v>
      </c>
      <c r="J87">
        <f>(J86-($M$9))*(1+'MF Data '!D271)</f>
        <v>245836.53137091169</v>
      </c>
      <c r="K87">
        <f t="shared" si="3"/>
        <v>668895.96250044345</v>
      </c>
    </row>
    <row r="88" spans="1:11" x14ac:dyDescent="0.25">
      <c r="A88" s="15">
        <f>'MF Data '!A272</f>
        <v>44043</v>
      </c>
      <c r="B88" s="17">
        <f>(B87-$E$9)*(1+'MF Data '!B272)</f>
        <v>396364.77689296729</v>
      </c>
      <c r="C88" s="17">
        <f>(C87-$E$9)*(1+'MF Data '!C272)</f>
        <v>928345.06918344286</v>
      </c>
      <c r="D88" s="17">
        <f>(D87-$E$9)*(1+'MF Data '!D272)</f>
        <v>767876.81945336098</v>
      </c>
      <c r="G88" s="15">
        <f t="shared" si="2"/>
        <v>44043</v>
      </c>
      <c r="H88">
        <f>(H87-($M$9))*(1+'MF Data '!B272)</f>
        <v>132121.59229765562</v>
      </c>
      <c r="I88">
        <f>(I87-($M$9))*(1+'MF Data '!C272)</f>
        <v>309448.35639447859</v>
      </c>
      <c r="J88">
        <f>(J87-($M$9))*(1+'MF Data '!D272)</f>
        <v>255958.93981778511</v>
      </c>
      <c r="K88">
        <f t="shared" si="3"/>
        <v>697528.8885099194</v>
      </c>
    </row>
    <row r="89" spans="1:11" x14ac:dyDescent="0.25">
      <c r="A89" s="15">
        <f>'MF Data '!A273</f>
        <v>44074</v>
      </c>
      <c r="B89" s="17">
        <f>(B88-$E$9)*(1+'MF Data '!B273)</f>
        <v>396107.80111571058</v>
      </c>
      <c r="C89" s="17">
        <f>(C88-$E$9)*(1+'MF Data '!C273)</f>
        <v>1036360.5123246487</v>
      </c>
      <c r="D89" s="17">
        <f>(D88-$E$9)*(1+'MF Data '!D273)</f>
        <v>811931.94347105257</v>
      </c>
      <c r="G89" s="15">
        <f t="shared" si="2"/>
        <v>44074</v>
      </c>
      <c r="H89">
        <f>(H88-($M$9))*(1+'MF Data '!B273)</f>
        <v>132035.9337052367</v>
      </c>
      <c r="I89">
        <f>(I88-($M$9))*(1+'MF Data '!C273)</f>
        <v>345453.50410821353</v>
      </c>
      <c r="J89">
        <f>(J88-($M$9))*(1+'MF Data '!D273)</f>
        <v>270643.98115701554</v>
      </c>
      <c r="K89">
        <f t="shared" si="3"/>
        <v>748133.41897046578</v>
      </c>
    </row>
    <row r="90" spans="1:11" x14ac:dyDescent="0.25">
      <c r="A90" s="15">
        <f>'MF Data '!A274</f>
        <v>44104</v>
      </c>
      <c r="B90" s="17">
        <f>(B89-$E$9)*(1+'MF Data '!B274)</f>
        <v>376906.58391640004</v>
      </c>
      <c r="C90" s="17">
        <f>(C89-$E$9)*(1+'MF Data '!C274)</f>
        <v>989753.3381483691</v>
      </c>
      <c r="D90" s="17">
        <f>(D89-$E$9)*(1+'MF Data '!D274)</f>
        <v>770350.8634298133</v>
      </c>
      <c r="G90" s="15">
        <f t="shared" si="2"/>
        <v>44104</v>
      </c>
      <c r="H90">
        <f>(H89-($M$9))*(1+'MF Data '!B274)</f>
        <v>125635.52797213318</v>
      </c>
      <c r="I90">
        <f>(I89-($M$9))*(1+'MF Data '!C274)</f>
        <v>329917.77938278706</v>
      </c>
      <c r="J90">
        <f>(J89-($M$9))*(1+'MF Data '!D274)</f>
        <v>256783.62114326921</v>
      </c>
      <c r="K90">
        <f t="shared" si="3"/>
        <v>712336.92849818943</v>
      </c>
    </row>
    <row r="91" spans="1:11" x14ac:dyDescent="0.25">
      <c r="A91" s="15">
        <f>'MF Data '!A275</f>
        <v>44134</v>
      </c>
      <c r="B91" s="17">
        <f>(B90-$E$9)*(1+'MF Data '!B275)</f>
        <v>356209.44331484794</v>
      </c>
      <c r="C91" s="17">
        <f>(C90-$E$9)*(1+'MF Data '!C275)</f>
        <v>936763.43592188845</v>
      </c>
      <c r="D91" s="17">
        <f>(D90-$E$9)*(1+'MF Data '!D275)</f>
        <v>737200.40824382007</v>
      </c>
      <c r="G91" s="15">
        <f t="shared" si="2"/>
        <v>44134</v>
      </c>
      <c r="H91">
        <f>(H90-($M$9))*(1+'MF Data '!B275)</f>
        <v>118736.48110494914</v>
      </c>
      <c r="I91">
        <f>(I90-($M$9))*(1+'MF Data '!C275)</f>
        <v>312254.47864062694</v>
      </c>
      <c r="J91">
        <f>(J90-($M$9))*(1+'MF Data '!D275)</f>
        <v>245733.46941460489</v>
      </c>
      <c r="K91">
        <f t="shared" si="3"/>
        <v>676724.42916018097</v>
      </c>
    </row>
    <row r="92" spans="1:11" x14ac:dyDescent="0.25">
      <c r="A92" s="15">
        <f>'MF Data '!A276</f>
        <v>44165</v>
      </c>
      <c r="B92" s="17">
        <f>(B91-$E$9)*(1+'MF Data '!B276)</f>
        <v>393968.89237571741</v>
      </c>
      <c r="C92" s="17">
        <f>(C91-$E$9)*(1+'MF Data '!C276)</f>
        <v>1024650.0618801709</v>
      </c>
      <c r="D92" s="17">
        <f>(D91-$E$9)*(1+'MF Data '!D276)</f>
        <v>806439.68583132105</v>
      </c>
      <c r="G92" s="15">
        <f t="shared" si="2"/>
        <v>44165</v>
      </c>
      <c r="H92">
        <f>(H91-($M$9))*(1+'MF Data '!B276)</f>
        <v>131322.96412523894</v>
      </c>
      <c r="I92">
        <f>(I91-($M$9))*(1+'MF Data '!C276)</f>
        <v>341550.02062672086</v>
      </c>
      <c r="J92">
        <f>(J91-($M$9))*(1+'MF Data '!D276)</f>
        <v>268813.22861043835</v>
      </c>
      <c r="K92">
        <f t="shared" si="3"/>
        <v>741686.21336239809</v>
      </c>
    </row>
    <row r="93" spans="1:11" x14ac:dyDescent="0.25">
      <c r="A93" s="15">
        <f>'MF Data '!A277</f>
        <v>44196</v>
      </c>
      <c r="B93" s="17">
        <f>(B92-$E$9)*(1+'MF Data '!B277)</f>
        <v>399908.60227708099</v>
      </c>
      <c r="C93" s="17">
        <f>(C92-$E$9)*(1+'MF Data '!C277)</f>
        <v>1065729.0711514845</v>
      </c>
      <c r="D93" s="17">
        <f>(D92-$E$9)*(1+'MF Data '!D277)</f>
        <v>826617.3812837617</v>
      </c>
      <c r="G93" s="15">
        <f t="shared" si="2"/>
        <v>44196</v>
      </c>
      <c r="H93">
        <f>(H92-($M$9))*(1+'MF Data '!B277)</f>
        <v>133302.86742569346</v>
      </c>
      <c r="I93">
        <f>(I92-($M$9))*(1+'MF Data '!C277)</f>
        <v>355243.02371715853</v>
      </c>
      <c r="J93">
        <f>(J92-($M$9))*(1+'MF Data '!D277)</f>
        <v>275539.12709458516</v>
      </c>
      <c r="K93">
        <f t="shared" si="3"/>
        <v>764085.01823743712</v>
      </c>
    </row>
    <row r="94" spans="1:11" x14ac:dyDescent="0.25">
      <c r="A94" s="15">
        <f>'MF Data '!A278</f>
        <v>44225</v>
      </c>
      <c r="B94" s="17">
        <f>(B93-$E$9)*(1+'MF Data '!B278)</f>
        <v>383386.58477297839</v>
      </c>
      <c r="C94" s="17">
        <f>(C93-$E$9)*(1+'MF Data '!C278)</f>
        <v>1040002.5981043351</v>
      </c>
      <c r="D94" s="17">
        <f>(D93-$E$9)*(1+'MF Data '!D278)</f>
        <v>807662.64488105499</v>
      </c>
      <c r="G94" s="15">
        <f t="shared" si="2"/>
        <v>44225</v>
      </c>
      <c r="H94">
        <f>(H93-($M$9))*(1+'MF Data '!B278)</f>
        <v>127795.52825765924</v>
      </c>
      <c r="I94">
        <f>(I93-($M$9))*(1+'MF Data '!C278)</f>
        <v>346667.53270144208</v>
      </c>
      <c r="J94">
        <f>(J93-($M$9))*(1+'MF Data '!D278)</f>
        <v>269220.88162701629</v>
      </c>
      <c r="K94">
        <f t="shared" si="3"/>
        <v>743683.94258611766</v>
      </c>
    </row>
    <row r="95" spans="1:11" x14ac:dyDescent="0.25">
      <c r="A95" s="15">
        <f>'MF Data '!A279</f>
        <v>44253</v>
      </c>
      <c r="B95" s="17">
        <f>(B94-$E$9)*(1+'MF Data '!B279)</f>
        <v>384744.97058891988</v>
      </c>
      <c r="C95" s="17">
        <f>(C94-$E$9)*(1+'MF Data '!C279)</f>
        <v>1052856.7815417959</v>
      </c>
      <c r="D95" s="17">
        <f>(D94-$E$9)*(1+'MF Data '!D279)</f>
        <v>819007.17211439169</v>
      </c>
      <c r="G95" s="15">
        <f t="shared" si="2"/>
        <v>44253</v>
      </c>
      <c r="H95">
        <f>(H94-($M$9))*(1+'MF Data '!B279)</f>
        <v>128248.32352963973</v>
      </c>
      <c r="I95">
        <f>(I94-($M$9))*(1+'MF Data '!C279)</f>
        <v>350952.26051392889</v>
      </c>
      <c r="J95">
        <f>(J94-($M$9))*(1+'MF Data '!D279)</f>
        <v>273002.39070479514</v>
      </c>
      <c r="K95">
        <f t="shared" si="3"/>
        <v>752202.97474836372</v>
      </c>
    </row>
    <row r="96" spans="1:11" x14ac:dyDescent="0.25">
      <c r="A96" s="15">
        <f>'MF Data '!A280</f>
        <v>44286</v>
      </c>
      <c r="B96" s="17">
        <f>(B95-$E$9)*(1+'MF Data '!B280)</f>
        <v>401238.65268562111</v>
      </c>
      <c r="C96" s="17">
        <f>(C95-$E$9)*(1+'MF Data '!C280)</f>
        <v>1046591.4455066661</v>
      </c>
      <c r="D96" s="17">
        <f>(D95-$E$9)*(1+'MF Data '!D280)</f>
        <v>843924.14124194684</v>
      </c>
      <c r="G96" s="15">
        <f t="shared" si="2"/>
        <v>44286</v>
      </c>
      <c r="H96">
        <f>(H95-($M$9))*(1+'MF Data '!B280)</f>
        <v>133746.21756187346</v>
      </c>
      <c r="I96">
        <f>(I95-($M$9))*(1+'MF Data '!C280)</f>
        <v>348863.81516888557</v>
      </c>
      <c r="J96">
        <f>(J95-($M$9))*(1+'MF Data '!D280)</f>
        <v>281308.04708064673</v>
      </c>
      <c r="K96">
        <f t="shared" si="3"/>
        <v>763918.07981140574</v>
      </c>
    </row>
    <row r="97" spans="1:11" x14ac:dyDescent="0.25">
      <c r="A97" s="15">
        <f>'MF Data '!A281</f>
        <v>44316</v>
      </c>
      <c r="B97" s="17">
        <f>(B96-$E$9)*(1+'MF Data '!B281)</f>
        <v>402310.95290359721</v>
      </c>
      <c r="C97" s="17">
        <f>(C96-$E$9)*(1+'MF Data '!C281)</f>
        <v>1114593.8754371789</v>
      </c>
      <c r="D97" s="17">
        <f>(D96-$E$9)*(1+'MF Data '!D281)</f>
        <v>878080.5456860601</v>
      </c>
      <c r="G97" s="15">
        <f t="shared" si="2"/>
        <v>44316</v>
      </c>
      <c r="H97">
        <f>(H96-($M$9))*(1+'MF Data '!B281)</f>
        <v>134103.65096786548</v>
      </c>
      <c r="I97">
        <f>(I96-($M$9))*(1+'MF Data '!C281)</f>
        <v>371531.29181238957</v>
      </c>
      <c r="J97">
        <f>(J96-($M$9))*(1+'MF Data '!D281)</f>
        <v>292693.51522868435</v>
      </c>
      <c r="K97">
        <f t="shared" si="3"/>
        <v>798328.4580089394</v>
      </c>
    </row>
    <row r="98" spans="1:11" x14ac:dyDescent="0.25">
      <c r="A98" s="15">
        <f>'MF Data '!A282</f>
        <v>44344</v>
      </c>
      <c r="B98" s="17">
        <f>(B97-$E$9)*(1+'MF Data '!B282)</f>
        <v>403363.74798438768</v>
      </c>
      <c r="C98" s="17">
        <f>(C97-$E$9)*(1+'MF Data '!C282)</f>
        <v>1080840.4769341175</v>
      </c>
      <c r="D98" s="17">
        <f>(D97-$E$9)*(1+'MF Data '!D282)</f>
        <v>873609.91894055926</v>
      </c>
      <c r="G98" s="15">
        <f t="shared" si="2"/>
        <v>44344</v>
      </c>
      <c r="H98">
        <f>(H97-($M$9))*(1+'MF Data '!B282)</f>
        <v>134454.58266146231</v>
      </c>
      <c r="I98">
        <f>(I97-($M$9))*(1+'MF Data '!C282)</f>
        <v>360280.15897803579</v>
      </c>
      <c r="J98">
        <f>(J97-($M$9))*(1+'MF Data '!D282)</f>
        <v>291203.30631351739</v>
      </c>
      <c r="K98">
        <f t="shared" si="3"/>
        <v>785938.04795301543</v>
      </c>
    </row>
    <row r="99" spans="1:11" x14ac:dyDescent="0.25">
      <c r="A99" s="15">
        <f>'MF Data '!A283</f>
        <v>44377</v>
      </c>
      <c r="B99" s="17">
        <f>(B98-$E$9)*(1+'MF Data '!B283)</f>
        <v>389648.38626330893</v>
      </c>
      <c r="C99" s="17">
        <f>(C98-$E$9)*(1+'MF Data '!C283)</f>
        <v>1129285.2616377126</v>
      </c>
      <c r="D99" s="17">
        <f>(D98-$E$9)*(1+'MF Data '!D283)</f>
        <v>883049.19227776048</v>
      </c>
      <c r="G99" s="15">
        <f t="shared" si="2"/>
        <v>44377</v>
      </c>
      <c r="H99">
        <f>(H98-($M$9))*(1+'MF Data '!B283)</f>
        <v>129882.79542110272</v>
      </c>
      <c r="I99">
        <f>(I98-($M$9))*(1+'MF Data '!C283)</f>
        <v>376428.42054590065</v>
      </c>
      <c r="J99">
        <f>(J98-($M$9))*(1+'MF Data '!D283)</f>
        <v>294349.73075925105</v>
      </c>
      <c r="K99">
        <f t="shared" si="3"/>
        <v>800660.94672625442</v>
      </c>
    </row>
    <row r="100" spans="1:11" x14ac:dyDescent="0.25">
      <c r="A100" s="15">
        <f>'MF Data '!A284</f>
        <v>44407</v>
      </c>
      <c r="B100" s="17">
        <f>(B99-$E$9)*(1+'MF Data '!B284)</f>
        <v>382726.83147599932</v>
      </c>
      <c r="C100" s="17">
        <f>(C99-$E$9)*(1+'MF Data '!C284)</f>
        <v>1149778.6451884091</v>
      </c>
      <c r="D100" s="17">
        <f>(D99-$E$9)*(1+'MF Data '!D284)</f>
        <v>892990.07979010639</v>
      </c>
      <c r="G100" s="15">
        <f t="shared" si="2"/>
        <v>44407</v>
      </c>
      <c r="H100">
        <f>(H99-($M$9))*(1+'MF Data '!B284)</f>
        <v>127575.61049199953</v>
      </c>
      <c r="I100">
        <f>(I99-($M$9))*(1+'MF Data '!C284)</f>
        <v>383259.54839613271</v>
      </c>
      <c r="J100">
        <f>(J99-($M$9))*(1+'MF Data '!D284)</f>
        <v>297663.35993003292</v>
      </c>
      <c r="K100">
        <f t="shared" si="3"/>
        <v>808498.51881816518</v>
      </c>
    </row>
    <row r="101" spans="1:11" x14ac:dyDescent="0.25">
      <c r="A101" s="15">
        <f>'MF Data '!A285</f>
        <v>44439</v>
      </c>
      <c r="B101" s="17">
        <f>(B100-$E$9)*(1+'MF Data '!B285)</f>
        <v>381207.83236055821</v>
      </c>
      <c r="C101" s="17">
        <f>(C100-$E$9)*(1+'MF Data '!C285)</f>
        <v>1185996.5097614655</v>
      </c>
      <c r="D101" s="17">
        <f>(D100-$E$9)*(1+'MF Data '!D285)</f>
        <v>909029.42281543545</v>
      </c>
      <c r="G101" s="15">
        <f t="shared" si="2"/>
        <v>44439</v>
      </c>
      <c r="H101">
        <f>(H100-($M$9))*(1+'MF Data '!B285)</f>
        <v>127069.27745351914</v>
      </c>
      <c r="I101">
        <f>(I100-($M$9))*(1+'MF Data '!C285)</f>
        <v>395332.16992048465</v>
      </c>
      <c r="J101">
        <f>(J100-($M$9))*(1+'MF Data '!D285)</f>
        <v>303009.80760514253</v>
      </c>
      <c r="K101">
        <f t="shared" si="3"/>
        <v>825411.25497914641</v>
      </c>
    </row>
    <row r="102" spans="1:11" x14ac:dyDescent="0.25">
      <c r="A102" s="15">
        <f>'MF Data '!A286</f>
        <v>44469</v>
      </c>
      <c r="B102" s="17">
        <f>(B101-$E$9)*(1+'MF Data '!B286)</f>
        <v>357564.52718325349</v>
      </c>
      <c r="C102" s="17">
        <f>(C101-$E$9)*(1+'MF Data '!C286)</f>
        <v>1107260.2931494829</v>
      </c>
      <c r="D102" s="17">
        <f>(D101-$E$9)*(1+'MF Data '!D286)</f>
        <v>856536.97237983893</v>
      </c>
      <c r="G102" s="15">
        <f t="shared" si="2"/>
        <v>44469</v>
      </c>
      <c r="H102">
        <f>(H101-($M$9))*(1+'MF Data '!B286)</f>
        <v>119188.1757277509</v>
      </c>
      <c r="I102">
        <f>(I101-($M$9))*(1+'MF Data '!C286)</f>
        <v>369086.76438315731</v>
      </c>
      <c r="J102">
        <f>(J101-($M$9))*(1+'MF Data '!D286)</f>
        <v>285512.32412661047</v>
      </c>
      <c r="K102">
        <f t="shared" si="3"/>
        <v>773787.26423751866</v>
      </c>
    </row>
    <row r="103" spans="1:11" x14ac:dyDescent="0.25">
      <c r="A103" s="15">
        <f>'MF Data '!A287</f>
        <v>44498</v>
      </c>
      <c r="B103" s="17">
        <f>(B102-$E$9)*(1+'MF Data '!B287)</f>
        <v>357523.14326189557</v>
      </c>
      <c r="C103" s="17">
        <f>(C102-$E$9)*(1+'MF Data '!C287)</f>
        <v>1174826.4353493901</v>
      </c>
      <c r="D103" s="17">
        <f>(D102-$E$9)*(1+'MF Data '!D287)</f>
        <v>905179.15040553291</v>
      </c>
      <c r="G103" s="15">
        <f t="shared" si="2"/>
        <v>44498</v>
      </c>
      <c r="H103">
        <f>(H102-($M$9))*(1+'MF Data '!B287)</f>
        <v>119174.38108729824</v>
      </c>
      <c r="I103">
        <f>(I102-($M$9))*(1+'MF Data '!C287)</f>
        <v>391608.81178312609</v>
      </c>
      <c r="J103">
        <f>(J102-($M$9))*(1+'MF Data '!D287)</f>
        <v>301726.38346850825</v>
      </c>
      <c r="K103">
        <f t="shared" si="3"/>
        <v>812509.57633893262</v>
      </c>
    </row>
    <row r="104" spans="1:11" x14ac:dyDescent="0.25">
      <c r="A104" s="15">
        <f>'MF Data '!A288</f>
        <v>44530</v>
      </c>
      <c r="B104" s="17">
        <f>(B103-$E$9)*(1+'MF Data '!B288)</f>
        <v>334345.2851370842</v>
      </c>
      <c r="C104" s="17">
        <f>(C103-$E$9)*(1+'MF Data '!C288)</f>
        <v>1150229.5098039848</v>
      </c>
      <c r="D104" s="17">
        <f>(D103-$E$9)*(1+'MF Data '!D288)</f>
        <v>888421.12644193927</v>
      </c>
      <c r="G104" s="15">
        <f t="shared" si="2"/>
        <v>44530</v>
      </c>
      <c r="H104">
        <f>(H103-($M$9))*(1+'MF Data '!B288)</f>
        <v>111448.4283790278</v>
      </c>
      <c r="I104">
        <f>(I103-($M$9))*(1+'MF Data '!C288)</f>
        <v>383409.83660132438</v>
      </c>
      <c r="J104">
        <f>(J103-($M$9))*(1+'MF Data '!D288)</f>
        <v>296140.37548064371</v>
      </c>
      <c r="K104">
        <f t="shared" si="3"/>
        <v>790998.64046099596</v>
      </c>
    </row>
    <row r="105" spans="1:11" x14ac:dyDescent="0.25">
      <c r="A105" s="15">
        <f>'MF Data '!A289</f>
        <v>44561</v>
      </c>
      <c r="B105" s="17">
        <f>(B104-$E$9)*(1+'MF Data '!B289)</f>
        <v>349992.00229438668</v>
      </c>
      <c r="C105" s="17">
        <f>(C104-$E$9)*(1+'MF Data '!C289)</f>
        <v>1151954.2168238196</v>
      </c>
      <c r="D105" s="17">
        <f>(D104-$E$9)*(1+'MF Data '!D289)</f>
        <v>917566.21067134128</v>
      </c>
      <c r="G105" s="15">
        <f t="shared" si="2"/>
        <v>44561</v>
      </c>
      <c r="H105">
        <f>(H104-($M$9))*(1+'MF Data '!B289)</f>
        <v>116664.00076479526</v>
      </c>
      <c r="I105">
        <f>(I104-($M$9))*(1+'MF Data '!C289)</f>
        <v>383984.73894126923</v>
      </c>
      <c r="J105">
        <f>(J104-($M$9))*(1+'MF Data '!D289)</f>
        <v>305855.40355711087</v>
      </c>
      <c r="K105">
        <f t="shared" si="3"/>
        <v>806504.14326317539</v>
      </c>
    </row>
    <row r="106" spans="1:11" x14ac:dyDescent="0.25">
      <c r="A106" s="15">
        <f>'MF Data '!A290</f>
        <v>44592</v>
      </c>
      <c r="B106" s="17">
        <f>(B105-$E$9)*(1+'MF Data '!B290)</f>
        <v>340938.5957693829</v>
      </c>
      <c r="C106" s="17">
        <f>(C105-$E$9)*(1+'MF Data '!C290)</f>
        <v>1032766.1354471996</v>
      </c>
      <c r="D106" s="17">
        <f>(D105-$E$9)*(1+'MF Data '!D290)</f>
        <v>860282.11883982434</v>
      </c>
      <c r="G106" s="15">
        <f t="shared" si="2"/>
        <v>44592</v>
      </c>
      <c r="H106">
        <f>(H105-($M$9))*(1+'MF Data '!B290)</f>
        <v>113646.198589794</v>
      </c>
      <c r="I106">
        <f>(I105-($M$9))*(1+'MF Data '!C290)</f>
        <v>344255.37848239625</v>
      </c>
      <c r="J106">
        <f>(J105-($M$9))*(1+'MF Data '!D290)</f>
        <v>286760.70627993869</v>
      </c>
      <c r="K106">
        <f t="shared" si="3"/>
        <v>744662.28335212893</v>
      </c>
    </row>
    <row r="107" spans="1:11" x14ac:dyDescent="0.25">
      <c r="A107" s="15">
        <f>'MF Data '!A291</f>
        <v>44620</v>
      </c>
      <c r="B107" s="17">
        <f>(B106-$E$9)*(1+'MF Data '!B291)</f>
        <v>330215.59294921381</v>
      </c>
      <c r="C107" s="17">
        <f>(C106-$E$9)*(1+'MF Data '!C291)</f>
        <v>964806.4338690975</v>
      </c>
      <c r="D107" s="17">
        <f>(D106-$E$9)*(1+'MF Data '!D291)</f>
        <v>824462.88544918504</v>
      </c>
      <c r="G107" s="15">
        <f t="shared" si="2"/>
        <v>44620</v>
      </c>
      <c r="H107">
        <f>(H106-($M$9))*(1+'MF Data '!B291)</f>
        <v>110071.8643164043</v>
      </c>
      <c r="I107">
        <f>(I106-($M$9))*(1+'MF Data '!C291)</f>
        <v>321602.1446230291</v>
      </c>
      <c r="J107">
        <f>(J106-($M$9))*(1+'MF Data '!D291)</f>
        <v>274820.96181639232</v>
      </c>
      <c r="K107">
        <f t="shared" si="3"/>
        <v>706494.97075582575</v>
      </c>
    </row>
    <row r="108" spans="1:11" x14ac:dyDescent="0.25">
      <c r="A108" s="15">
        <f>'MF Data '!A292</f>
        <v>44651</v>
      </c>
      <c r="B108" s="17">
        <f>(B107-$E$9)*(1+'MF Data '!B292)</f>
        <v>324518.92100535869</v>
      </c>
      <c r="C108" s="17">
        <f>(C107-$E$9)*(1+'MF Data '!C292)</f>
        <v>997027.4996634518</v>
      </c>
      <c r="D108" s="17">
        <f>(D107-$E$9)*(1+'MF Data '!D292)</f>
        <v>843836.26303151506</v>
      </c>
      <c r="G108" s="15">
        <f t="shared" si="2"/>
        <v>44651</v>
      </c>
      <c r="H108">
        <f>(H107-($M$9))*(1+'MF Data '!B292)</f>
        <v>108172.97366845259</v>
      </c>
      <c r="I108">
        <f>(I107-($M$9))*(1+'MF Data '!C292)</f>
        <v>332342.4998878137</v>
      </c>
      <c r="J108">
        <f>(J107-($M$9))*(1+'MF Data '!D292)</f>
        <v>281278.75434383558</v>
      </c>
      <c r="K108">
        <f t="shared" si="3"/>
        <v>721794.2279001018</v>
      </c>
    </row>
    <row r="109" spans="1:11" x14ac:dyDescent="0.25">
      <c r="A109" s="15">
        <f>'MF Data '!A293</f>
        <v>44680</v>
      </c>
      <c r="B109" s="17">
        <f>(B108-$E$9)*(1+'MF Data '!B293)</f>
        <v>302158.6901474527</v>
      </c>
      <c r="C109" s="17">
        <f>(C108-$E$9)*(1+'MF Data '!C293)</f>
        <v>860986.3918692366</v>
      </c>
      <c r="D109" s="17">
        <f>(D108-$E$9)*(1+'MF Data '!D293)</f>
        <v>760657.45367448579</v>
      </c>
      <c r="G109" s="15">
        <f t="shared" si="2"/>
        <v>44680</v>
      </c>
      <c r="H109">
        <f>(H108-($M$9))*(1+'MF Data '!B293)</f>
        <v>100719.56338248393</v>
      </c>
      <c r="I109">
        <f>(I108-($M$9))*(1+'MF Data '!C293)</f>
        <v>286995.46395640908</v>
      </c>
      <c r="J109">
        <f>(J108-($M$9))*(1+'MF Data '!D293)</f>
        <v>253552.4845581594</v>
      </c>
      <c r="K109">
        <f t="shared" si="3"/>
        <v>641267.51189705241</v>
      </c>
    </row>
    <row r="110" spans="1:11" x14ac:dyDescent="0.25">
      <c r="A110" s="15">
        <f>'MF Data '!A294</f>
        <v>44712</v>
      </c>
      <c r="B110" s="17">
        <f>(B109-$E$9)*(1+'MF Data '!B294)</f>
        <v>304658.40952228103</v>
      </c>
      <c r="C110" s="17">
        <f>(C109-$E$9)*(1+'MF Data '!C294)</f>
        <v>822150.5586105251</v>
      </c>
      <c r="D110" s="17">
        <f>(D109-$E$9)*(1+'MF Data '!D294)</f>
        <v>751323.28630043624</v>
      </c>
      <c r="G110" s="15">
        <f t="shared" si="2"/>
        <v>44712</v>
      </c>
      <c r="H110">
        <f>(H109-($M$9))*(1+'MF Data '!B294)</f>
        <v>101552.80317409335</v>
      </c>
      <c r="I110">
        <f>(I109-($M$9))*(1+'MF Data '!C294)</f>
        <v>274050.18620350532</v>
      </c>
      <c r="J110">
        <f>(J109-($M$9))*(1+'MF Data '!D294)</f>
        <v>250441.09543347624</v>
      </c>
      <c r="K110">
        <f t="shared" si="3"/>
        <v>626044.08481107489</v>
      </c>
    </row>
    <row r="111" spans="1:11" x14ac:dyDescent="0.25">
      <c r="A111" s="15">
        <f>'MF Data '!A295</f>
        <v>44742</v>
      </c>
      <c r="B111" s="17">
        <f>(B110-$E$9)*(1+'MF Data '!B295)</f>
        <v>270288.70911400038</v>
      </c>
      <c r="C111" s="17">
        <f>(C110-$E$9)*(1+'MF Data '!C295)</f>
        <v>738712.44550391997</v>
      </c>
      <c r="D111" s="17">
        <f>(D110-$E$9)*(1+'MF Data '!D295)</f>
        <v>680128.20576004975</v>
      </c>
      <c r="G111" s="15">
        <f t="shared" si="2"/>
        <v>44742</v>
      </c>
      <c r="H111">
        <f>(H110-($M$9))*(1+'MF Data '!B295)</f>
        <v>90096.236371333143</v>
      </c>
      <c r="I111">
        <f>(I110-($M$9))*(1+'MF Data '!C295)</f>
        <v>246237.4818346372</v>
      </c>
      <c r="J111">
        <f>(J110-($M$9))*(1+'MF Data '!D295)</f>
        <v>226709.40192001429</v>
      </c>
      <c r="K111">
        <f t="shared" si="3"/>
        <v>563043.12012598466</v>
      </c>
    </row>
    <row r="112" spans="1:11" x14ac:dyDescent="0.25">
      <c r="A112" s="15">
        <f>'MF Data '!A296</f>
        <v>44771</v>
      </c>
      <c r="B112" s="17">
        <f>(B111-$E$9)*(1+'MF Data '!B296)</f>
        <v>266791.57843409432</v>
      </c>
      <c r="C112" s="17">
        <f>(C111-$E$9)*(1+'MF Data '!C296)</f>
        <v>816155.58578699257</v>
      </c>
      <c r="D112" s="17">
        <f>(D111-$E$9)*(1+'MF Data '!D296)</f>
        <v>731341.24107443995</v>
      </c>
      <c r="G112" s="15">
        <f t="shared" si="2"/>
        <v>44771</v>
      </c>
      <c r="H112">
        <f>(H111-($M$9))*(1+'MF Data '!B296)</f>
        <v>88930.526144697782</v>
      </c>
      <c r="I112">
        <f>(I111-($M$9))*(1+'MF Data '!C296)</f>
        <v>272051.86192899442</v>
      </c>
      <c r="J112">
        <f>(J111-($M$9))*(1+'MF Data '!D296)</f>
        <v>243780.4136914775</v>
      </c>
      <c r="K112">
        <f t="shared" si="3"/>
        <v>604762.80176516972</v>
      </c>
    </row>
    <row r="113" spans="1:11" x14ac:dyDescent="0.25">
      <c r="A113" s="15">
        <f>'MF Data '!A297</f>
        <v>44804</v>
      </c>
      <c r="B113" s="17">
        <f>(B112-$E$9)*(1+'MF Data '!B297)</f>
        <v>252903.14326662442</v>
      </c>
      <c r="C113" s="17">
        <f>(C112-$E$9)*(1+'MF Data '!C297)</f>
        <v>755091.26200925675</v>
      </c>
      <c r="D113" s="17">
        <f>(D112-$E$9)*(1+'MF Data '!D297)</f>
        <v>691390.55748494319</v>
      </c>
      <c r="G113" s="15">
        <f t="shared" si="2"/>
        <v>44804</v>
      </c>
      <c r="H113">
        <f>(H112-($M$9))*(1+'MF Data '!B297)</f>
        <v>84301.047755541149</v>
      </c>
      <c r="I113">
        <f>(I112-($M$9))*(1+'MF Data '!C297)</f>
        <v>251697.08733641598</v>
      </c>
      <c r="J113">
        <f>(J112-($M$9))*(1+'MF Data '!D297)</f>
        <v>230463.51916164538</v>
      </c>
      <c r="K113">
        <f t="shared" si="3"/>
        <v>566461.65425360249</v>
      </c>
    </row>
    <row r="114" spans="1:11" x14ac:dyDescent="0.25">
      <c r="A114" s="15">
        <f>'MF Data '!A298</f>
        <v>44834</v>
      </c>
      <c r="B114" s="17">
        <f>(B113-$E$9)*(1+'MF Data '!B298)</f>
        <v>225437.98405839677</v>
      </c>
      <c r="C114" s="17">
        <f>(C113-$E$9)*(1+'MF Data '!C298)</f>
        <v>672967.2265769178</v>
      </c>
      <c r="D114" s="17">
        <f>(D113-$E$9)*(1+'MF Data '!D298)</f>
        <v>618260.01636616152</v>
      </c>
      <c r="G114" s="15">
        <f t="shared" si="2"/>
        <v>44834</v>
      </c>
      <c r="H114">
        <f>(H113-($M$9))*(1+'MF Data '!B298)</f>
        <v>75145.994686131948</v>
      </c>
      <c r="I114">
        <f>(I113-($M$9))*(1+'MF Data '!C298)</f>
        <v>224322.40885896995</v>
      </c>
      <c r="J114">
        <f>(J113-($M$9))*(1+'MF Data '!D298)</f>
        <v>206086.67212205171</v>
      </c>
      <c r="K114">
        <f t="shared" si="3"/>
        <v>505555.07566715358</v>
      </c>
    </row>
    <row r="115" spans="1:11" x14ac:dyDescent="0.25">
      <c r="A115" s="15">
        <f>'MF Data '!A299</f>
        <v>44865</v>
      </c>
      <c r="B115" s="17">
        <f>(B114-$E$9)*(1+'MF Data '!B299)</f>
        <v>246551.17399398773</v>
      </c>
      <c r="C115" s="17">
        <f>(C114-$E$9)*(1+'MF Data '!C299)</f>
        <v>692198.79680350493</v>
      </c>
      <c r="D115" s="17">
        <f>(D114-$E$9)*(1+'MF Data '!D299)</f>
        <v>657359.51484292257</v>
      </c>
      <c r="G115" s="15">
        <f t="shared" si="2"/>
        <v>44865</v>
      </c>
      <c r="H115">
        <f>(H114-($M$9))*(1+'MF Data '!B299)</f>
        <v>82183.724664662222</v>
      </c>
      <c r="I115">
        <f>(I114-($M$9))*(1+'MF Data '!C299)</f>
        <v>230732.93226783222</v>
      </c>
      <c r="J115">
        <f>(J114-($M$9))*(1+'MF Data '!D299)</f>
        <v>219119.83828097189</v>
      </c>
      <c r="K115">
        <f t="shared" si="3"/>
        <v>532036.49521346635</v>
      </c>
    </row>
    <row r="116" spans="1:11" x14ac:dyDescent="0.25">
      <c r="A116" s="15">
        <f>'MF Data '!A300</f>
        <v>44895</v>
      </c>
      <c r="B116" s="17">
        <f>(B115-$E$9)*(1+'MF Data '!B300)</f>
        <v>250820.27545405383</v>
      </c>
      <c r="C116" s="17">
        <f>(C115-$E$9)*(1+'MF Data '!C300)</f>
        <v>714357.8359492243</v>
      </c>
      <c r="D116" s="17">
        <f>(D115-$E$9)*(1+'MF Data '!D300)</f>
        <v>683273.57972048002</v>
      </c>
      <c r="G116" s="15">
        <f t="shared" si="2"/>
        <v>44895</v>
      </c>
      <c r="H116">
        <f>(H115-($M$9))*(1+'MF Data '!B300)</f>
        <v>83606.758484684236</v>
      </c>
      <c r="I116">
        <f>(I115-($M$9))*(1+'MF Data '!C300)</f>
        <v>238119.27864973855</v>
      </c>
      <c r="J116">
        <f>(J115-($M$9))*(1+'MF Data '!D300)</f>
        <v>227757.85990682425</v>
      </c>
      <c r="K116">
        <f t="shared" si="3"/>
        <v>549483.89704124699</v>
      </c>
    </row>
    <row r="117" spans="1:11" x14ac:dyDescent="0.25">
      <c r="A117" s="15">
        <f>'MF Data '!A301</f>
        <v>44925</v>
      </c>
      <c r="B117" s="17">
        <f>(B116-$E$9)*(1+'MF Data '!B301)</f>
        <v>231707.02537266194</v>
      </c>
      <c r="C117" s="17">
        <f>(C116-$E$9)*(1+'MF Data '!C301)</f>
        <v>644228.86506045121</v>
      </c>
      <c r="D117" s="17">
        <f>(D116-$E$9)*(1+'MF Data '!D301)</f>
        <v>634272.24403519277</v>
      </c>
      <c r="G117" s="15">
        <f t="shared" si="2"/>
        <v>44925</v>
      </c>
      <c r="H117">
        <f>(H116-($M$9))*(1+'MF Data '!B301)</f>
        <v>77235.675124220288</v>
      </c>
      <c r="I117">
        <f>(I116-($M$9))*(1+'MF Data '!C301)</f>
        <v>214742.95502014778</v>
      </c>
      <c r="J117">
        <f>(J116-($M$9))*(1+'MF Data '!D301)</f>
        <v>211424.08134506198</v>
      </c>
      <c r="K117">
        <f t="shared" si="3"/>
        <v>503402.71148943005</v>
      </c>
    </row>
    <row r="118" spans="1:11" x14ac:dyDescent="0.25">
      <c r="A118" s="15">
        <f>'MF Data '!A302</f>
        <v>44957</v>
      </c>
      <c r="B118" s="17">
        <f>(B117-$E$9)*(1+'MF Data '!B302)</f>
        <v>230589.43910086917</v>
      </c>
      <c r="C118" s="17">
        <f>(C117-$E$9)*(1+'MF Data '!C302)</f>
        <v>695599.01521817734</v>
      </c>
      <c r="D118" s="17">
        <f>(D117-$E$9)*(1+'MF Data '!D302)</f>
        <v>663176.57144340384</v>
      </c>
      <c r="G118" s="15">
        <f t="shared" si="2"/>
        <v>44957</v>
      </c>
      <c r="H118">
        <f>(H117-($M$9))*(1+'MF Data '!B302)</f>
        <v>76863.146366956018</v>
      </c>
      <c r="I118">
        <f>(I117-($M$9))*(1+'MF Data '!C302)</f>
        <v>231866.33840605628</v>
      </c>
      <c r="J118">
        <f>(J117-($M$9))*(1+'MF Data '!D302)</f>
        <v>221058.85714779884</v>
      </c>
      <c r="K118">
        <f t="shared" si="3"/>
        <v>529788.3419208111</v>
      </c>
    </row>
    <row r="119" spans="1:11" x14ac:dyDescent="0.25">
      <c r="A119" s="15">
        <f>'MF Data '!A303</f>
        <v>44985</v>
      </c>
      <c r="B119" s="17">
        <f>(B118-$E$9)*(1+'MF Data '!B303)</f>
        <v>210821.03165621479</v>
      </c>
      <c r="C119" s="17">
        <f>(C118-$E$9)*(1+'MF Data '!C303)</f>
        <v>674608.08374025091</v>
      </c>
      <c r="D119" s="17">
        <f>(D118-$E$9)*(1+'MF Data '!D303)</f>
        <v>636636.33236699004</v>
      </c>
      <c r="G119" s="15">
        <f t="shared" si="2"/>
        <v>44985</v>
      </c>
      <c r="H119">
        <f>(H118-($M$9))*(1+'MF Data '!B303)</f>
        <v>70273.67721873791</v>
      </c>
      <c r="I119">
        <f>(I118-($M$9))*(1+'MF Data '!C303)</f>
        <v>224869.36124674755</v>
      </c>
      <c r="J119">
        <f>(J118-($M$9))*(1+'MF Data '!D303)</f>
        <v>212212.11078899429</v>
      </c>
      <c r="K119">
        <f t="shared" si="3"/>
        <v>507355.14925447974</v>
      </c>
    </row>
    <row r="120" spans="1:11" x14ac:dyDescent="0.25">
      <c r="A120" s="15">
        <f>'MF Data '!A304</f>
        <v>45016</v>
      </c>
      <c r="B120" s="17">
        <f>(B119-$E$9)*(1+'MF Data '!B304)</f>
        <v>194714.75308743646</v>
      </c>
      <c r="C120" s="17">
        <f>(C119-$E$9)*(1+'MF Data '!C304)</f>
        <v>724476.82863747526</v>
      </c>
      <c r="D120" s="17">
        <f>(D119-$E$9)*(1+'MF Data '!D304)</f>
        <v>649107.49120444001</v>
      </c>
      <c r="G120" s="15">
        <f t="shared" si="2"/>
        <v>45016</v>
      </c>
      <c r="H120">
        <f>(H119-($M$9))*(1+'MF Data '!B304)</f>
        <v>64904.917695811804</v>
      </c>
      <c r="I120">
        <f>(I119-($M$9))*(1+'MF Data '!C304)</f>
        <v>241492.27621248877</v>
      </c>
      <c r="J120">
        <f>(J119-($M$9))*(1+'MF Data '!D304)</f>
        <v>216369.16373481089</v>
      </c>
      <c r="K120">
        <f t="shared" si="3"/>
        <v>522766.35764311149</v>
      </c>
    </row>
    <row r="121" spans="1:11" x14ac:dyDescent="0.25">
      <c r="A121" s="15">
        <f>'MF Data '!A305</f>
        <v>45044</v>
      </c>
      <c r="B121" s="17">
        <f>(B120-$E$9)*(1+'MF Data '!B305)</f>
        <v>187002.57675369454</v>
      </c>
      <c r="C121" s="17">
        <f>(C120-$E$9)*(1+'MF Data '!C305)</f>
        <v>733761.48902797094</v>
      </c>
      <c r="D121" s="17">
        <f>(D120-$E$9)*(1+'MF Data '!D305)</f>
        <v>648447.26303495013</v>
      </c>
      <c r="G121" s="15">
        <f t="shared" si="2"/>
        <v>45044</v>
      </c>
      <c r="H121">
        <f>(H120-($M$9))*(1+'MF Data '!B305)</f>
        <v>62334.192251231158</v>
      </c>
      <c r="I121">
        <f>(I120-($M$9))*(1+'MF Data '!C305)</f>
        <v>244587.16300932059</v>
      </c>
      <c r="J121">
        <f>(J120-($M$9))*(1+'MF Data '!D305)</f>
        <v>216149.08767831422</v>
      </c>
      <c r="K121">
        <f t="shared" si="3"/>
        <v>523070.44293886598</v>
      </c>
    </row>
    <row r="122" spans="1:11" x14ac:dyDescent="0.25">
      <c r="A122" s="15">
        <f>'MF Data '!A306</f>
        <v>45077</v>
      </c>
      <c r="B122" s="17">
        <f>(B121-$E$9)*(1+'MF Data '!B306)</f>
        <v>171001.56259378954</v>
      </c>
      <c r="C122" s="17">
        <f>(C121-$E$9)*(1+'MF Data '!C306)</f>
        <v>775849.22421052563</v>
      </c>
      <c r="D122" s="17">
        <f>(D121-$E$9)*(1+'MF Data '!D306)</f>
        <v>640501.74185645103</v>
      </c>
      <c r="G122" s="15">
        <f t="shared" si="2"/>
        <v>45077</v>
      </c>
      <c r="H122">
        <f>(H121-($M$9))*(1+'MF Data '!B306)</f>
        <v>57000.520864596168</v>
      </c>
      <c r="I122">
        <f>(I121-($M$9))*(1+'MF Data '!C306)</f>
        <v>258616.40807017195</v>
      </c>
      <c r="J122">
        <f>(J121-($M$9))*(1+'MF Data '!D306)</f>
        <v>213500.58061881451</v>
      </c>
      <c r="K122">
        <f t="shared" si="3"/>
        <v>529117.50955358264</v>
      </c>
    </row>
    <row r="123" spans="1:11" x14ac:dyDescent="0.25">
      <c r="A123" s="15">
        <f>'MF Data '!A307</f>
        <v>45107</v>
      </c>
      <c r="B123" s="17">
        <f>(B122-$E$9)*(1+'MF Data '!B307)</f>
        <v>172708.7710452411</v>
      </c>
      <c r="C123" s="17">
        <f>(C122-$E$9)*(1+'MF Data '!C307)</f>
        <v>815977.24263324973</v>
      </c>
      <c r="D123" s="17">
        <f>(D122-$E$9)*(1+'MF Data '!D307)</f>
        <v>671629.13080889429</v>
      </c>
      <c r="G123" s="15">
        <f t="shared" si="2"/>
        <v>45107</v>
      </c>
      <c r="H123">
        <f>(H122-($M$9))*(1+'MF Data '!B307)</f>
        <v>57569.590348413323</v>
      </c>
      <c r="I123">
        <f>(I122-($M$9))*(1+'MF Data '!C307)</f>
        <v>271992.41421107977</v>
      </c>
      <c r="J123">
        <f>(J122-($M$9))*(1+'MF Data '!D307)</f>
        <v>223876.37693629545</v>
      </c>
      <c r="K123">
        <f t="shared" si="3"/>
        <v>553438.38149578858</v>
      </c>
    </row>
    <row r="124" spans="1:11" x14ac:dyDescent="0.25">
      <c r="A124" s="15">
        <f>'MF Data '!A308</f>
        <v>45138</v>
      </c>
      <c r="B124" s="17">
        <f>(B123-$E$9)*(1+'MF Data '!B308)</f>
        <v>168037.79785747241</v>
      </c>
      <c r="C124" s="17">
        <f>(C123-$E$9)*(1+'MF Data '!C308)</f>
        <v>825746.21794473333</v>
      </c>
      <c r="D124" s="17">
        <f>(D123-$E$9)*(1+'MF Data '!D308)</f>
        <v>682373.288548187</v>
      </c>
      <c r="G124" s="15">
        <f t="shared" si="2"/>
        <v>45138</v>
      </c>
      <c r="H124">
        <f>(H123-($M$9))*(1+'MF Data '!B308)</f>
        <v>56012.599285823744</v>
      </c>
      <c r="I124">
        <f>(I123-($M$9))*(1+'MF Data '!C308)</f>
        <v>275248.73931490758</v>
      </c>
      <c r="J124">
        <f>(J123-($M$9))*(1+'MF Data '!D308)</f>
        <v>227457.76284939295</v>
      </c>
      <c r="K124">
        <f t="shared" si="3"/>
        <v>558719.10145012429</v>
      </c>
    </row>
    <row r="125" spans="1:11" x14ac:dyDescent="0.25">
      <c r="A125" s="15">
        <f>'MF Data '!A309</f>
        <v>45169</v>
      </c>
      <c r="B125" s="17">
        <f>(B124-$E$9)*(1+'MF Data '!B309)</f>
        <v>156219.19408242404</v>
      </c>
      <c r="C125" s="17">
        <f>(C124-$E$9)*(1+'MF Data '!C309)</f>
        <v>812090.84616987815</v>
      </c>
      <c r="D125" s="17">
        <f>(D124-$E$9)*(1+'MF Data '!D309)</f>
        <v>661149.27507181151</v>
      </c>
      <c r="G125" s="15">
        <f t="shared" si="2"/>
        <v>45169</v>
      </c>
      <c r="H125">
        <f>(H124-($M$9))*(1+'MF Data '!B309)</f>
        <v>52073.06469414095</v>
      </c>
      <c r="I125">
        <f>(I124-($M$9))*(1+'MF Data '!C309)</f>
        <v>270696.94872328918</v>
      </c>
      <c r="J125">
        <f>(J124-($M$9))*(1+'MF Data '!D309)</f>
        <v>220383.09169060117</v>
      </c>
      <c r="K125">
        <f t="shared" si="3"/>
        <v>543153.1051080313</v>
      </c>
    </row>
    <row r="126" spans="1:11" x14ac:dyDescent="0.25">
      <c r="A126" s="15">
        <f>'MF Data '!A310</f>
        <v>45198</v>
      </c>
      <c r="B126" s="17">
        <f>(B125-$E$9)*(1+'MF Data '!B310)</f>
        <v>142923.10885283706</v>
      </c>
      <c r="C126" s="17">
        <f>(C125-$E$9)*(1+'MF Data '!C310)</f>
        <v>751185.7619345577</v>
      </c>
      <c r="D126" s="17">
        <f>(D125-$E$9)*(1+'MF Data '!D310)</f>
        <v>619833.55909213994</v>
      </c>
      <c r="G126" s="15">
        <f t="shared" si="2"/>
        <v>45198</v>
      </c>
      <c r="H126">
        <f>(H125-($M$9))*(1+'MF Data '!B310)</f>
        <v>47641.036284278627</v>
      </c>
      <c r="I126">
        <f>(I125-($M$9))*(1+'MF Data '!C310)</f>
        <v>250395.25397818259</v>
      </c>
      <c r="J126">
        <f>(J125-($M$9))*(1+'MF Data '!D310)</f>
        <v>206611.18636404412</v>
      </c>
      <c r="K126">
        <f t="shared" si="3"/>
        <v>504647.47662650538</v>
      </c>
    </row>
    <row r="127" spans="1:11" x14ac:dyDescent="0.25">
      <c r="A127" s="15">
        <f>'MF Data '!A311</f>
        <v>45230</v>
      </c>
      <c r="B127" s="17">
        <f>(B126-$E$9)*(1+'MF Data '!B311)</f>
        <v>128380.90089826923</v>
      </c>
      <c r="C127" s="17">
        <f>(C126-$E$9)*(1+'MF Data '!C311)</f>
        <v>735813.23450480984</v>
      </c>
      <c r="D127" s="17">
        <f>(D126-$E$9)*(1+'MF Data '!D311)</f>
        <v>596776.63828732818</v>
      </c>
      <c r="G127" s="15">
        <f t="shared" si="2"/>
        <v>45230</v>
      </c>
      <c r="H127">
        <f>(H126-($M$9))*(1+'MF Data '!B311)</f>
        <v>42793.633632756028</v>
      </c>
      <c r="I127">
        <f>(I126-($M$9))*(1+'MF Data '!C311)</f>
        <v>245271.07816826666</v>
      </c>
      <c r="J127">
        <f>(J126-($M$9))*(1+'MF Data '!D311)</f>
        <v>198925.54609577361</v>
      </c>
      <c r="K127">
        <f t="shared" si="3"/>
        <v>486990.25789679633</v>
      </c>
    </row>
    <row r="128" spans="1:11" x14ac:dyDescent="0.25">
      <c r="A128" s="15">
        <f>'MF Data '!A312</f>
        <v>45260</v>
      </c>
      <c r="B128" s="17">
        <f>(B127-$E$9)*(1+'MF Data '!B312)</f>
        <v>124398.20046433875</v>
      </c>
      <c r="C128" s="17">
        <f>(C127-$E$9)*(1+'MF Data '!C312)</f>
        <v>811020.88813344284</v>
      </c>
      <c r="D128" s="17">
        <f>(D127-$E$9)*(1+'MF Data '!D312)</f>
        <v>639844.30108257686</v>
      </c>
      <c r="G128" s="15">
        <f t="shared" si="2"/>
        <v>45260</v>
      </c>
      <c r="H128">
        <f>(H127-($M$9))*(1+'MF Data '!B312)</f>
        <v>41466.066821445842</v>
      </c>
      <c r="I128">
        <f>(I127-($M$9))*(1+'MF Data '!C312)</f>
        <v>270340.29604447726</v>
      </c>
      <c r="J128">
        <f>(J127-($M$9))*(1+'MF Data '!D312)</f>
        <v>213281.43369418962</v>
      </c>
      <c r="K128">
        <f t="shared" si="3"/>
        <v>525087.79656011274</v>
      </c>
    </row>
    <row r="129" spans="1:11" x14ac:dyDescent="0.25">
      <c r="A129" s="15">
        <f>'MF Data '!A313</f>
        <v>45289</v>
      </c>
      <c r="B129" s="17">
        <f>(B128-$E$9)*(1+'MF Data '!B313)</f>
        <v>122691.46686166318</v>
      </c>
      <c r="C129" s="17">
        <f>(C128-$E$9)*(1+'MF Data '!C313)</f>
        <v>831303.2327698291</v>
      </c>
      <c r="D129" s="17">
        <f>(D128-$E$9)*(1+'MF Data '!D313)</f>
        <v>657882.20022778527</v>
      </c>
      <c r="G129" s="15">
        <f t="shared" si="2"/>
        <v>45289</v>
      </c>
      <c r="H129">
        <f>(H128-($M$9))*(1+'MF Data '!B313)</f>
        <v>40897.155620553953</v>
      </c>
      <c r="I129">
        <f>(I128-($M$9))*(1+'MF Data '!C313)</f>
        <v>277101.07758993917</v>
      </c>
      <c r="J129">
        <f>(J128-($M$9))*(1+'MF Data '!D313)</f>
        <v>219294.06674259232</v>
      </c>
      <c r="K129">
        <f t="shared" si="3"/>
        <v>537292.29995308537</v>
      </c>
    </row>
    <row r="130" spans="1:11" x14ac:dyDescent="0.25">
      <c r="A130" s="15">
        <f>'MF Data '!A314</f>
        <v>45322</v>
      </c>
      <c r="B130" s="17">
        <f>(B129-$E$9)*(1+'MF Data '!B314)</f>
        <v>113706.35979028852</v>
      </c>
      <c r="C130" s="17">
        <f>(C129-$E$9)*(1+'MF Data '!C314)</f>
        <v>849602.00995361293</v>
      </c>
      <c r="D130" s="17">
        <f>(D129-$E$9)*(1+'MF Data '!D314)</f>
        <v>658258.5101911251</v>
      </c>
      <c r="G130" s="15">
        <f t="shared" si="2"/>
        <v>45322</v>
      </c>
      <c r="H130">
        <f>(H129-($M$9))*(1+'MF Data '!B314)</f>
        <v>37902.119930095723</v>
      </c>
      <c r="I130">
        <f>(I129-($M$9))*(1+'MF Data '!C314)</f>
        <v>283200.66998453363</v>
      </c>
      <c r="J130">
        <f>(J129-($M$9))*(1+'MF Data '!D314)</f>
        <v>219419.50339703888</v>
      </c>
      <c r="K130">
        <f t="shared" si="3"/>
        <v>540522.29331166821</v>
      </c>
    </row>
    <row r="131" spans="1:11" x14ac:dyDescent="0.25">
      <c r="A131" s="15">
        <f>'MF Data '!A315</f>
        <v>45351</v>
      </c>
      <c r="B131" s="17">
        <f>(B130-$E$9)*(1+'MF Data '!B315)</f>
        <v>106992.28270581734</v>
      </c>
      <c r="C131" s="17">
        <f>(C130-$E$9)*(1+'MF Data '!C315)</f>
        <v>906080.28963792778</v>
      </c>
      <c r="D131" s="17">
        <f>(D130-$E$9)*(1+'MF Data '!D315)</f>
        <v>682420.08347064734</v>
      </c>
      <c r="G131" s="15">
        <f t="shared" si="2"/>
        <v>45351</v>
      </c>
      <c r="H131">
        <f>(H130-($M$9))*(1+'MF Data '!B315)</f>
        <v>35664.094235271979</v>
      </c>
      <c r="I131">
        <f>(I130-($M$9))*(1+'MF Data '!C315)</f>
        <v>302026.76321263827</v>
      </c>
      <c r="J131">
        <f>(J130-($M$9))*(1+'MF Data '!D315)</f>
        <v>227473.36115687949</v>
      </c>
      <c r="K131">
        <f t="shared" si="3"/>
        <v>565164.2186047897</v>
      </c>
    </row>
    <row r="132" spans="1:11" x14ac:dyDescent="0.25">
      <c r="A132" s="15">
        <f>'MF Data '!A316</f>
        <v>45379</v>
      </c>
      <c r="B132" s="17">
        <f>(B131-$E$9)*(1+'MF Data '!B316)</f>
        <v>102863.99323320459</v>
      </c>
      <c r="C132" s="17">
        <f>(C131-$E$9)*(1+'MF Data '!C316)</f>
        <v>919816.7303429927</v>
      </c>
      <c r="D132" s="17">
        <f>(D131-$E$9)*(1+'MF Data '!D316)</f>
        <v>693682.99321219081</v>
      </c>
      <c r="G132" s="15">
        <f t="shared" si="2"/>
        <v>45379</v>
      </c>
      <c r="H132">
        <f>(H131-($M$9))*(1+'MF Data '!B316)</f>
        <v>34287.997744401029</v>
      </c>
      <c r="I132">
        <f>(I131-($M$9))*(1+'MF Data '!C316)</f>
        <v>306605.57678099308</v>
      </c>
      <c r="J132">
        <f>(J131-($M$9))*(1+'MF Data '!D316)</f>
        <v>231227.66440406058</v>
      </c>
      <c r="K132">
        <f t="shared" si="3"/>
        <v>572121.2389294547</v>
      </c>
    </row>
    <row r="133" spans="1:11" x14ac:dyDescent="0.25">
      <c r="A133" s="15">
        <f>'MF Data '!A317</f>
        <v>45412</v>
      </c>
      <c r="B133" s="17">
        <f>(B132-$E$9)*(1+'MF Data '!B317)</f>
        <v>88287.902268841761</v>
      </c>
      <c r="C133" s="17">
        <f>(C132-$E$9)*(1+'MF Data '!C317)</f>
        <v>865075.54395178787</v>
      </c>
      <c r="D133" s="17">
        <f>(D132-$E$9)*(1+'MF Data '!D317)</f>
        <v>655263.94032533874</v>
      </c>
      <c r="G133" s="15">
        <f t="shared" si="2"/>
        <v>45412</v>
      </c>
      <c r="H133">
        <f>(H132-($M$9))*(1+'MF Data '!B317)</f>
        <v>29429.30075628011</v>
      </c>
      <c r="I133">
        <f>(I132-($M$9))*(1+'MF Data '!C317)</f>
        <v>288358.51465059171</v>
      </c>
      <c r="J133">
        <f>(J132-($M$9))*(1+'MF Data '!D317)</f>
        <v>218421.3134417767</v>
      </c>
      <c r="K133">
        <f t="shared" si="3"/>
        <v>536209.12884864851</v>
      </c>
    </row>
    <row r="134" spans="1:11" x14ac:dyDescent="0.25">
      <c r="A134" s="15">
        <f>'MF Data '!A318</f>
        <v>45443</v>
      </c>
      <c r="B134" s="17">
        <f>(B133-$E$9)*(1+'MF Data '!B318)</f>
        <v>79757.392552762482</v>
      </c>
      <c r="C134" s="17">
        <f>(C133-$E$9)*(1+'MF Data '!C318)</f>
        <v>920461.54979097936</v>
      </c>
      <c r="D134" s="17">
        <f>(D133-$E$9)*(1+'MF Data '!D318)</f>
        <v>676612.25403477589</v>
      </c>
      <c r="G134" s="15">
        <f t="shared" si="2"/>
        <v>45443</v>
      </c>
      <c r="H134">
        <f>(H133-($M$9))*(1+'MF Data '!B318)</f>
        <v>26585.797517587005</v>
      </c>
      <c r="I134">
        <f>(I133-($M$9))*(1+'MF Data '!C318)</f>
        <v>306820.51659698854</v>
      </c>
      <c r="J134">
        <f>(J133-($M$9))*(1+'MF Data '!D318)</f>
        <v>225537.41801158898</v>
      </c>
      <c r="K134">
        <f t="shared" si="3"/>
        <v>558943.73212616448</v>
      </c>
    </row>
    <row r="135" spans="1:11" x14ac:dyDescent="0.25">
      <c r="A135" s="15">
        <f>'MF Data '!A319</f>
        <v>45471</v>
      </c>
      <c r="B135" s="17">
        <f>(B134-$E$9)*(1+'MF Data '!B319)</f>
        <v>70140.808339372452</v>
      </c>
      <c r="C135" s="17">
        <f>(C134-$E$9)*(1+'MF Data '!C319)</f>
        <v>982360.74176603265</v>
      </c>
      <c r="D135" s="17">
        <f>(D134-$E$9)*(1+'MF Data '!D319)</f>
        <v>689815.56761442684</v>
      </c>
      <c r="G135" s="15">
        <f t="shared" si="2"/>
        <v>45471</v>
      </c>
      <c r="H135">
        <f>(H134-($M$9))*(1+'MF Data '!B319)</f>
        <v>23380.26944645699</v>
      </c>
      <c r="I135">
        <f>(I134-($M$9))*(1+'MF Data '!C319)</f>
        <v>327453.5805886726</v>
      </c>
      <c r="J135">
        <f>(J134-($M$9))*(1+'MF Data '!D319)</f>
        <v>229938.52253813919</v>
      </c>
      <c r="K135">
        <f t="shared" si="3"/>
        <v>580772.37257326883</v>
      </c>
    </row>
    <row r="136" spans="1:11" x14ac:dyDescent="0.25">
      <c r="A136" s="15">
        <f>'MF Data '!A320</f>
        <v>45504</v>
      </c>
      <c r="B136" s="17">
        <f>(B135-$E$9)*(1+'MF Data '!B320)</f>
        <v>61996.580687746355</v>
      </c>
      <c r="C136" s="17">
        <f>(C135-$E$9)*(1+'MF Data '!C320)</f>
        <v>939414.4070496168</v>
      </c>
      <c r="D136" s="17">
        <f>(D135-$E$9)*(1+'MF Data '!D320)</f>
        <v>687725.41975198779</v>
      </c>
      <c r="G136" s="15">
        <f t="shared" si="2"/>
        <v>45504</v>
      </c>
      <c r="H136">
        <f>(H135-($M$9))*(1+'MF Data '!B320)</f>
        <v>20665.526895914943</v>
      </c>
      <c r="I136">
        <f>(I135-($M$9))*(1+'MF Data '!C320)</f>
        <v>313138.13568320079</v>
      </c>
      <c r="J136">
        <f>(J135-($M$9))*(1+'MF Data '!D320)</f>
        <v>229241.80658399285</v>
      </c>
      <c r="K136">
        <f t="shared" si="3"/>
        <v>563045.46916310862</v>
      </c>
    </row>
    <row r="137" spans="1:11" x14ac:dyDescent="0.25">
      <c r="A137" s="15">
        <f>'MF Data '!A321</f>
        <v>45534</v>
      </c>
      <c r="B137" s="17">
        <f>(B136-$E$9)*(1+'MF Data '!B321)</f>
        <v>52131.895261671743</v>
      </c>
      <c r="C137" s="17">
        <f>(C136-$E$9)*(1+'MF Data '!C321)</f>
        <v>950996.92634983407</v>
      </c>
      <c r="D137" s="17">
        <f>(D136-$E$9)*(1+'MF Data '!D321)</f>
        <v>693558.22100208804</v>
      </c>
      <c r="G137" s="15">
        <f t="shared" si="2"/>
        <v>45534</v>
      </c>
      <c r="H137">
        <f>(H136-($M$9))*(1+'MF Data '!B321)</f>
        <v>17377.298420556737</v>
      </c>
      <c r="I137">
        <f>(I136-($M$9))*(1+'MF Data '!C321)</f>
        <v>316998.97544993972</v>
      </c>
      <c r="J137">
        <f>(J136-($M$9))*(1+'MF Data '!D321)</f>
        <v>231186.07366735954</v>
      </c>
      <c r="K137">
        <f t="shared" si="3"/>
        <v>565562.34753785608</v>
      </c>
    </row>
    <row r="138" spans="1:11" x14ac:dyDescent="0.25">
      <c r="A138" s="15">
        <f>'MF Data '!A322</f>
        <v>45565</v>
      </c>
      <c r="B138" s="17">
        <f>(B137-$E$9)*(1+'MF Data '!B322)</f>
        <v>42304.583100110394</v>
      </c>
      <c r="C138" s="17">
        <f>(C137-$E$9)*(1+'MF Data '!C322)</f>
        <v>964027.6068288004</v>
      </c>
      <c r="D138" s="17">
        <f>(D137-$E$9)*(1+'MF Data '!D322)</f>
        <v>697619.71688804263</v>
      </c>
      <c r="G138" s="15">
        <f t="shared" si="2"/>
        <v>45565</v>
      </c>
      <c r="H138">
        <f>(H137-($M$9))*(1+'MF Data '!B322)</f>
        <v>14101.527700036284</v>
      </c>
      <c r="I138">
        <f>(I137-($M$9))*(1+'MF Data '!C322)</f>
        <v>321342.53560959501</v>
      </c>
      <c r="J138">
        <f>(J137-($M$9))*(1+'MF Data '!D322)</f>
        <v>232539.90562934437</v>
      </c>
      <c r="K138">
        <f t="shared" si="3"/>
        <v>567983.96893897571</v>
      </c>
    </row>
    <row r="139" spans="1:11" x14ac:dyDescent="0.25">
      <c r="A139" s="15">
        <f>'MF Data '!A323</f>
        <v>45596</v>
      </c>
      <c r="B139" s="17">
        <f>(B138-$E$9)*(1+'MF Data '!B323)</f>
        <v>32088.10486706339</v>
      </c>
      <c r="C139" s="17">
        <f>(C138-$E$9)*(1+'MF Data '!C323)</f>
        <v>962376.12030786637</v>
      </c>
      <c r="D139" s="17">
        <f>(D138-$E$9)*(1+'MF Data '!D323)</f>
        <v>680798.29968999373</v>
      </c>
      <c r="G139" s="15">
        <f t="shared" ref="G139:G141" si="4">A139</f>
        <v>45596</v>
      </c>
      <c r="H139">
        <f>(H138-($M$9))*(1+'MF Data '!B323)</f>
        <v>10696.034955687282</v>
      </c>
      <c r="I139">
        <f>(I138-($M$9))*(1+'MF Data '!C323)</f>
        <v>320792.04010261694</v>
      </c>
      <c r="J139">
        <f>(J138-($M$9))*(1+'MF Data '!D323)</f>
        <v>226932.7665633281</v>
      </c>
      <c r="K139">
        <f t="shared" ref="K139:K141" si="5">SUM(H139:J139)</f>
        <v>558420.84162163234</v>
      </c>
    </row>
    <row r="140" spans="1:11" x14ac:dyDescent="0.25">
      <c r="A140" s="15">
        <f>'MF Data '!A324</f>
        <v>45625</v>
      </c>
      <c r="B140" s="17">
        <f>(B139-$E$9)*(1+'MF Data '!B324)</f>
        <v>23298.915478656691</v>
      </c>
      <c r="C140" s="17">
        <f>(C139-$E$9)*(1+'MF Data '!C324)</f>
        <v>1010339.9260816826</v>
      </c>
      <c r="D140" s="17">
        <f>(D139-$E$9)*(1+'MF Data '!D324)</f>
        <v>709755.84966954892</v>
      </c>
      <c r="G140" s="15">
        <f t="shared" si="4"/>
        <v>45625</v>
      </c>
      <c r="H140">
        <f>(H139-($M$9))*(1+'MF Data '!B324)</f>
        <v>7766.3051595516818</v>
      </c>
      <c r="I140">
        <f>(I139-($M$9))*(1+'MF Data '!C324)</f>
        <v>336779.97536055534</v>
      </c>
      <c r="J140">
        <f>(J139-($M$9))*(1+'MF Data '!D324)</f>
        <v>236585.28322317963</v>
      </c>
      <c r="K140">
        <f t="shared" si="5"/>
        <v>581131.56374328665</v>
      </c>
    </row>
    <row r="141" spans="1:11" x14ac:dyDescent="0.25">
      <c r="A141" s="15">
        <f>'MF Data '!A325</f>
        <v>45657</v>
      </c>
      <c r="B141" s="17">
        <f>(B140-$E$9)*(1+'MF Data '!B325)</f>
        <v>12195.681443176418</v>
      </c>
      <c r="C141" s="17">
        <f>(C140-$E$9)*(1+'MF Data '!C325)</f>
        <v>986459.37808918452</v>
      </c>
      <c r="D141" s="17">
        <f>(D140-$E$9)*(1+'MF Data '!D325)</f>
        <v>682484.11554941407</v>
      </c>
      <c r="G141" s="15">
        <f t="shared" si="4"/>
        <v>45657</v>
      </c>
      <c r="H141">
        <f>(H140-($M$9))*(1+'MF Data '!B325)</f>
        <v>4065.2271477249597</v>
      </c>
      <c r="I141">
        <f>(I140-($M$9))*(1+'MF Data '!C325)</f>
        <v>328819.79269638943</v>
      </c>
      <c r="J141">
        <f>(J140-($M$9))*(1+'MF Data '!D325)</f>
        <v>227494.70518313476</v>
      </c>
      <c r="K141">
        <f t="shared" si="5"/>
        <v>560379.72502724919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0EECD-0155-4F5F-A068-0FC8FB9B7589}">
  <dimension ref="A1:K23"/>
  <sheetViews>
    <sheetView workbookViewId="0">
      <selection activeCell="L20" sqref="L20"/>
    </sheetView>
  </sheetViews>
  <sheetFormatPr defaultRowHeight="15" x14ac:dyDescent="0.25"/>
  <cols>
    <col min="5" max="5" width="11.42578125" bestFit="1" customWidth="1"/>
    <col min="6" max="6" width="9.7109375" bestFit="1" customWidth="1"/>
    <col min="9" max="9" width="14.7109375" bestFit="1" customWidth="1"/>
    <col min="10" max="10" width="17.5703125" bestFit="1" customWidth="1"/>
    <col min="11" max="11" width="16.5703125" bestFit="1" customWidth="1"/>
    <col min="13" max="13" width="21.85546875" bestFit="1" customWidth="1"/>
    <col min="14" max="14" width="22.140625" bestFit="1" customWidth="1"/>
  </cols>
  <sheetData>
    <row r="1" spans="1:11" x14ac:dyDescent="0.25">
      <c r="A1" s="11" t="s">
        <v>134</v>
      </c>
    </row>
    <row r="2" spans="1:11" x14ac:dyDescent="0.25">
      <c r="A2" t="s">
        <v>116</v>
      </c>
      <c r="B2" t="s">
        <v>117</v>
      </c>
      <c r="C2" s="14" t="s">
        <v>131</v>
      </c>
      <c r="D2" s="14" t="s">
        <v>130</v>
      </c>
      <c r="E2" s="14" t="s">
        <v>132</v>
      </c>
      <c r="F2" s="14" t="s">
        <v>133</v>
      </c>
    </row>
    <row r="3" spans="1:11" x14ac:dyDescent="0.25">
      <c r="A3" t="s">
        <v>16</v>
      </c>
      <c r="B3" t="s">
        <v>123</v>
      </c>
      <c r="C3">
        <f>AVERAGE('MF Data '!F2:F193)</f>
        <v>4.2549687499999992E-3</v>
      </c>
      <c r="D3">
        <f>_xlfn.STDEV.S('MF Data '!F2:F193)</f>
        <v>4.6909272870341426E-2</v>
      </c>
      <c r="E3">
        <f>(C3/D3)</f>
        <v>9.0706346307282457E-2</v>
      </c>
      <c r="F3">
        <f>E3*SQRT(12)</f>
        <v>0.31421600074630163</v>
      </c>
      <c r="J3" s="26"/>
      <c r="K3" s="26"/>
    </row>
    <row r="4" spans="1:11" x14ac:dyDescent="0.25">
      <c r="A4" t="s">
        <v>124</v>
      </c>
      <c r="B4" t="s">
        <v>123</v>
      </c>
      <c r="C4">
        <f>AVERAGE('MF Data '!G2:G193)</f>
        <v>3.931859375E-3</v>
      </c>
      <c r="D4">
        <f>_xlfn.STDEV.S('MF Data '!G2:G193)</f>
        <v>5.5518416510548632E-2</v>
      </c>
      <c r="E4">
        <f t="shared" ref="E4:E11" si="0">(C4/D4)</f>
        <v>7.0820812662280047E-2</v>
      </c>
      <c r="F4">
        <f t="shared" ref="F4:F11" si="1">E4*SQRT(12)</f>
        <v>0.24533049152877265</v>
      </c>
    </row>
    <row r="5" spans="1:11" x14ac:dyDescent="0.25">
      <c r="A5" t="s">
        <v>62</v>
      </c>
      <c r="B5" t="s">
        <v>123</v>
      </c>
      <c r="C5">
        <f>AVERAGE('MF Data '!H2:H193)</f>
        <v>3.9919166666666671E-3</v>
      </c>
      <c r="D5">
        <f>_xlfn.STDEV.S('MF Data '!H2:H193)</f>
        <v>4.5757469533718162E-2</v>
      </c>
      <c r="E5">
        <f t="shared" si="0"/>
        <v>8.7240765438855158E-2</v>
      </c>
      <c r="F5">
        <f t="shared" si="1"/>
        <v>0.30221087646259215</v>
      </c>
    </row>
    <row r="6" spans="1:11" x14ac:dyDescent="0.25">
      <c r="A6" t="s">
        <v>16</v>
      </c>
      <c r="B6" t="s">
        <v>125</v>
      </c>
      <c r="C6">
        <f>AVERAGE('MF Data '!F2:F109)</f>
        <v>2.9235092592592602E-3</v>
      </c>
      <c r="D6">
        <f>_xlfn.STDEV.S('MF Data '!F2:F109)</f>
        <v>4.2464629684403919E-2</v>
      </c>
      <c r="E6">
        <f t="shared" si="0"/>
        <v>6.884574953288676E-2</v>
      </c>
      <c r="F6">
        <f t="shared" si="1"/>
        <v>0.23848867215224231</v>
      </c>
    </row>
    <row r="7" spans="1:11" x14ac:dyDescent="0.25">
      <c r="A7" t="s">
        <v>124</v>
      </c>
      <c r="B7" t="s">
        <v>125</v>
      </c>
      <c r="C7">
        <f>AVERAGE('MF Data '!G2:G109)</f>
        <v>1.5289814814814821E-3</v>
      </c>
      <c r="D7">
        <f>_xlfn.STDEV.S('MF Data '!G2:G109)</f>
        <v>5.930681094154136E-2</v>
      </c>
      <c r="E7">
        <f t="shared" si="0"/>
        <v>2.578087503286253E-2</v>
      </c>
      <c r="F7">
        <f t="shared" si="1"/>
        <v>8.93075708410037E-2</v>
      </c>
    </row>
    <row r="8" spans="1:11" x14ac:dyDescent="0.25">
      <c r="A8" t="s">
        <v>62</v>
      </c>
      <c r="B8" t="s">
        <v>125</v>
      </c>
      <c r="C8">
        <f>AVERAGE('MF Data '!H2:H109)</f>
        <v>2.9734722222222228E-3</v>
      </c>
      <c r="D8">
        <f>_xlfn.STDEV.S('MF Data '!H2:H109)</f>
        <v>4.3646235974880147E-2</v>
      </c>
      <c r="E8">
        <f t="shared" si="0"/>
        <v>6.8126658709666388E-2</v>
      </c>
      <c r="F8">
        <f t="shared" si="1"/>
        <v>0.2359976684700939</v>
      </c>
    </row>
    <row r="9" spans="1:11" x14ac:dyDescent="0.25">
      <c r="A9" t="s">
        <v>16</v>
      </c>
      <c r="B9" t="s">
        <v>126</v>
      </c>
      <c r="C9">
        <f>AVERAGE('MF Data '!F110:F193)</f>
        <v>5.9668452380952381E-3</v>
      </c>
      <c r="D9">
        <f>_xlfn.STDEV.S('MF Data '!F110:F193)</f>
        <v>5.2285919455558098E-2</v>
      </c>
      <c r="E9">
        <f t="shared" si="0"/>
        <v>0.11411954308591489</v>
      </c>
      <c r="F9">
        <f t="shared" si="1"/>
        <v>0.3953216935227003</v>
      </c>
    </row>
    <row r="10" spans="1:11" x14ac:dyDescent="0.25">
      <c r="A10" t="s">
        <v>124</v>
      </c>
      <c r="B10" t="s">
        <v>126</v>
      </c>
      <c r="C10">
        <f>AVERAGE('MF Data '!G110:G193)</f>
        <v>7.021273809523808E-3</v>
      </c>
      <c r="D10">
        <f>_xlfn.STDEV.S('MF Data '!G110:G193)</f>
        <v>5.0413003534145469E-2</v>
      </c>
      <c r="E10">
        <f t="shared" si="0"/>
        <v>0.13927505439679261</v>
      </c>
      <c r="F10">
        <f t="shared" si="1"/>
        <v>0.4824629408843279</v>
      </c>
    </row>
    <row r="11" spans="1:11" x14ac:dyDescent="0.25">
      <c r="A11" t="s">
        <v>62</v>
      </c>
      <c r="B11" t="s">
        <v>126</v>
      </c>
      <c r="C11">
        <f>AVERAGE('MF Data '!H110:H193)</f>
        <v>5.3013452380952378E-3</v>
      </c>
      <c r="D11">
        <f>_xlfn.STDEV.S('MF Data '!H110:H193)</f>
        <v>4.8571781828917908E-2</v>
      </c>
      <c r="E11">
        <f t="shared" si="0"/>
        <v>0.10914454933458928</v>
      </c>
      <c r="F11">
        <f t="shared" si="1"/>
        <v>0.37808780963343303</v>
      </c>
    </row>
    <row r="13" spans="1:11" x14ac:dyDescent="0.25">
      <c r="A13" s="11" t="s">
        <v>135</v>
      </c>
    </row>
    <row r="14" spans="1:11" x14ac:dyDescent="0.25">
      <c r="A14" t="str">
        <f>A2</f>
        <v>Fund</v>
      </c>
      <c r="B14" t="str">
        <f t="shared" ref="B14:C14" si="2">B2</f>
        <v>Period</v>
      </c>
      <c r="C14" t="str">
        <f t="shared" si="2"/>
        <v>Avg Excess Return</v>
      </c>
      <c r="D14" s="14" t="s">
        <v>136</v>
      </c>
      <c r="E14" s="14" t="s">
        <v>137</v>
      </c>
      <c r="F14" s="14" t="s">
        <v>138</v>
      </c>
    </row>
    <row r="15" spans="1:11" x14ac:dyDescent="0.25">
      <c r="A15" t="str">
        <f t="shared" ref="A15:C15" si="3">A3</f>
        <v>FGINX</v>
      </c>
      <c r="B15" t="str">
        <f t="shared" si="3"/>
        <v>1998-2013 (Full)</v>
      </c>
      <c r="C15">
        <f t="shared" si="3"/>
        <v>4.2549687499999992E-3</v>
      </c>
      <c r="D15">
        <f>'Alphas 1998-2013'!B21</f>
        <v>0.95407920634725851</v>
      </c>
      <c r="E15">
        <f>C15/D15</f>
        <v>4.4597646837838201E-3</v>
      </c>
      <c r="F15">
        <f>E15*12</f>
        <v>5.3517176205405845E-2</v>
      </c>
    </row>
    <row r="16" spans="1:11" x14ac:dyDescent="0.25">
      <c r="A16" t="str">
        <f t="shared" ref="A16:C16" si="4">A4</f>
        <v>PGWCX</v>
      </c>
      <c r="B16" t="str">
        <f t="shared" si="4"/>
        <v>1998-2013 (Full)</v>
      </c>
      <c r="C16">
        <f t="shared" si="4"/>
        <v>3.931859375E-3</v>
      </c>
      <c r="D16">
        <f>'Alphas 1998-2013'!B44</f>
        <v>1.0780905978778448</v>
      </c>
      <c r="E16">
        <f t="shared" ref="E16:E22" si="5">C16/D16</f>
        <v>3.6470584037553281E-3</v>
      </c>
      <c r="F16">
        <f t="shared" ref="F16:F23" si="6">E16*12</f>
        <v>4.3764700845063939E-2</v>
      </c>
    </row>
    <row r="17" spans="1:6" x14ac:dyDescent="0.25">
      <c r="A17" t="str">
        <f t="shared" ref="A17:C17" si="7">A5</f>
        <v>SPFIX</v>
      </c>
      <c r="B17" t="str">
        <f t="shared" si="7"/>
        <v>1998-2013 (Full)</v>
      </c>
      <c r="C17">
        <f t="shared" si="7"/>
        <v>3.9919166666666671E-3</v>
      </c>
      <c r="D17">
        <f>'Alphas 1998-2013'!B67</f>
        <v>0.94495876385799482</v>
      </c>
      <c r="E17">
        <f t="shared" si="5"/>
        <v>4.2244347788985203E-3</v>
      </c>
      <c r="F17">
        <f t="shared" si="6"/>
        <v>5.0693217346782241E-2</v>
      </c>
    </row>
    <row r="18" spans="1:6" x14ac:dyDescent="0.25">
      <c r="A18" t="str">
        <f t="shared" ref="A18:C18" si="8">A6</f>
        <v>FGINX</v>
      </c>
      <c r="B18" t="str">
        <f t="shared" si="8"/>
        <v>1998-2006 (1st Half)</v>
      </c>
      <c r="C18">
        <f t="shared" si="8"/>
        <v>2.9235092592592602E-3</v>
      </c>
      <c r="D18">
        <f>'Alphas 1998-2006 '!B21</f>
        <v>0.88101928928162732</v>
      </c>
      <c r="E18">
        <f t="shared" si="5"/>
        <v>3.3183260512298827E-3</v>
      </c>
      <c r="F18">
        <f t="shared" si="6"/>
        <v>3.981991261475859E-2</v>
      </c>
    </row>
    <row r="19" spans="1:6" x14ac:dyDescent="0.25">
      <c r="A19" t="str">
        <f t="shared" ref="A19:C19" si="9">A7</f>
        <v>PGWCX</v>
      </c>
      <c r="B19" t="str">
        <f t="shared" si="9"/>
        <v>1998-2006 (1st Half)</v>
      </c>
      <c r="C19">
        <f t="shared" si="9"/>
        <v>1.5289814814814821E-3</v>
      </c>
      <c r="D19">
        <f>'Alphas 1998-2006 '!B45</f>
        <v>1.1848486080330565</v>
      </c>
      <c r="E19">
        <f t="shared" si="5"/>
        <v>1.2904445944530532E-3</v>
      </c>
      <c r="F19">
        <f t="shared" si="6"/>
        <v>1.5485335133436638E-2</v>
      </c>
    </row>
    <row r="20" spans="1:6" x14ac:dyDescent="0.25">
      <c r="A20" t="str">
        <f t="shared" ref="A20:C20" si="10">A8</f>
        <v>SPFIX</v>
      </c>
      <c r="B20" t="str">
        <f t="shared" si="10"/>
        <v>1998-2006 (1st Half)</v>
      </c>
      <c r="C20">
        <f t="shared" si="10"/>
        <v>2.9734722222222228E-3</v>
      </c>
      <c r="D20">
        <f>'Alphas 1998-2006 '!B69</f>
        <v>0.92418961642818576</v>
      </c>
      <c r="E20">
        <f t="shared" si="5"/>
        <v>3.2173832830043234E-3</v>
      </c>
      <c r="F20">
        <f t="shared" si="6"/>
        <v>3.8608599396051879E-2</v>
      </c>
    </row>
    <row r="21" spans="1:6" x14ac:dyDescent="0.25">
      <c r="A21" t="str">
        <f t="shared" ref="A21:C21" si="11">A9</f>
        <v>FGINX</v>
      </c>
      <c r="B21" t="str">
        <f t="shared" si="11"/>
        <v>2007-2013 (2nd Half)</v>
      </c>
      <c r="C21">
        <f t="shared" si="11"/>
        <v>5.9668452380952381E-3</v>
      </c>
      <c r="D21">
        <f>'Alphas 2007-2013'!B21</f>
        <v>1.0338339569680921</v>
      </c>
      <c r="E21">
        <f t="shared" si="5"/>
        <v>5.7715701809544998E-3</v>
      </c>
      <c r="F21">
        <f t="shared" si="6"/>
        <v>6.9258842171454005E-2</v>
      </c>
    </row>
    <row r="22" spans="1:6" x14ac:dyDescent="0.25">
      <c r="A22" t="str">
        <f t="shared" ref="A22:C22" si="12">A10</f>
        <v>PGWCX</v>
      </c>
      <c r="B22" t="str">
        <f t="shared" si="12"/>
        <v>2007-2013 (2nd Half)</v>
      </c>
      <c r="C22">
        <f t="shared" si="12"/>
        <v>7.021273809523808E-3</v>
      </c>
      <c r="D22">
        <f>'Alphas 2007-2013'!B45</f>
        <v>0.95954028391861845</v>
      </c>
      <c r="E22">
        <f t="shared" si="5"/>
        <v>7.317330941906868E-3</v>
      </c>
      <c r="F22">
        <f t="shared" si="6"/>
        <v>8.7807971302882412E-2</v>
      </c>
    </row>
    <row r="23" spans="1:6" x14ac:dyDescent="0.25">
      <c r="A23" t="str">
        <f t="shared" ref="A23:C23" si="13">A11</f>
        <v>SPFIX</v>
      </c>
      <c r="B23" t="str">
        <f t="shared" si="13"/>
        <v>2007-2013 (2nd Half)</v>
      </c>
      <c r="C23">
        <f t="shared" si="13"/>
        <v>5.3013452380952378E-3</v>
      </c>
      <c r="D23">
        <f>'Alphas 2007-2013'!B69</f>
        <v>0.96784444773198564</v>
      </c>
      <c r="E23">
        <f>C23/D23</f>
        <v>5.4774765206518812E-3</v>
      </c>
      <c r="F23">
        <f t="shared" si="6"/>
        <v>6.5729718247822574E-2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B2D4A-0EFA-46FF-85E5-CFAE144CE5C2}">
  <dimension ref="A1:AE70"/>
  <sheetViews>
    <sheetView topLeftCell="A39" zoomScale="79" zoomScaleNormal="79" workbookViewId="0">
      <selection activeCell="D6" sqref="D6"/>
    </sheetView>
  </sheetViews>
  <sheetFormatPr defaultRowHeight="15" x14ac:dyDescent="0.25"/>
  <sheetData>
    <row r="1" spans="1:26" x14ac:dyDescent="0.25">
      <c r="A1" s="11" t="s">
        <v>128</v>
      </c>
    </row>
    <row r="3" spans="1:26" x14ac:dyDescent="0.25">
      <c r="A3" s="11" t="s">
        <v>16</v>
      </c>
    </row>
    <row r="4" spans="1:26" x14ac:dyDescent="0.25">
      <c r="A4" s="14" t="s">
        <v>111</v>
      </c>
      <c r="K4" s="14" t="s">
        <v>112</v>
      </c>
      <c r="U4" s="14" t="s">
        <v>115</v>
      </c>
    </row>
    <row r="5" spans="1:26" ht="15.75" thickBot="1" x14ac:dyDescent="0.3"/>
    <row r="6" spans="1:26" x14ac:dyDescent="0.25">
      <c r="A6" s="10" t="s">
        <v>88</v>
      </c>
      <c r="B6" s="10"/>
      <c r="K6" s="10" t="s">
        <v>88</v>
      </c>
      <c r="L6" s="10"/>
      <c r="U6" s="10" t="s">
        <v>88</v>
      </c>
      <c r="V6" s="10"/>
    </row>
    <row r="7" spans="1:26" x14ac:dyDescent="0.25">
      <c r="A7" t="s">
        <v>89</v>
      </c>
      <c r="B7">
        <v>0.97215414483329377</v>
      </c>
      <c r="K7" t="s">
        <v>89</v>
      </c>
      <c r="L7">
        <v>0.97490033382638996</v>
      </c>
      <c r="U7" t="s">
        <v>89</v>
      </c>
      <c r="V7">
        <v>0.97619752860065989</v>
      </c>
    </row>
    <row r="8" spans="1:26" x14ac:dyDescent="0.25">
      <c r="A8" t="s">
        <v>90</v>
      </c>
      <c r="B8">
        <v>0.94508368131655274</v>
      </c>
      <c r="K8" t="s">
        <v>90</v>
      </c>
      <c r="L8">
        <v>0.95043066089480666</v>
      </c>
      <c r="U8" t="s">
        <v>90</v>
      </c>
      <c r="V8">
        <v>0.95296161484603625</v>
      </c>
    </row>
    <row r="9" spans="1:26" x14ac:dyDescent="0.25">
      <c r="A9" t="s">
        <v>91</v>
      </c>
      <c r="B9">
        <v>0.94479464806032409</v>
      </c>
      <c r="K9" t="s">
        <v>91</v>
      </c>
      <c r="L9">
        <v>0.94963966080270257</v>
      </c>
      <c r="U9" t="s">
        <v>91</v>
      </c>
      <c r="V9">
        <v>0.95195544617964123</v>
      </c>
    </row>
    <row r="10" spans="1:26" x14ac:dyDescent="0.25">
      <c r="A10" t="s">
        <v>92</v>
      </c>
      <c r="B10">
        <v>1.1021717936835236E-2</v>
      </c>
      <c r="K10" t="s">
        <v>92</v>
      </c>
      <c r="L10">
        <v>1.0526961252672922E-2</v>
      </c>
      <c r="U10" t="s">
        <v>92</v>
      </c>
      <c r="V10">
        <v>1.0282075378253663E-2</v>
      </c>
    </row>
    <row r="11" spans="1:26" ht="15.75" thickBot="1" x14ac:dyDescent="0.3">
      <c r="A11" s="8" t="s">
        <v>93</v>
      </c>
      <c r="B11" s="8">
        <v>192</v>
      </c>
      <c r="K11" s="8" t="s">
        <v>93</v>
      </c>
      <c r="L11" s="8">
        <v>192</v>
      </c>
      <c r="U11" s="8" t="s">
        <v>93</v>
      </c>
      <c r="V11" s="8">
        <v>192</v>
      </c>
    </row>
    <row r="13" spans="1:26" ht="15.75" thickBot="1" x14ac:dyDescent="0.3">
      <c r="A13" t="s">
        <v>94</v>
      </c>
      <c r="K13" t="s">
        <v>94</v>
      </c>
      <c r="U13" t="s">
        <v>94</v>
      </c>
    </row>
    <row r="14" spans="1:26" x14ac:dyDescent="0.25">
      <c r="A14" s="9"/>
      <c r="B14" s="9" t="s">
        <v>99</v>
      </c>
      <c r="C14" s="9" t="s">
        <v>100</v>
      </c>
      <c r="D14" s="9" t="s">
        <v>101</v>
      </c>
      <c r="E14" s="9" t="s">
        <v>102</v>
      </c>
      <c r="F14" s="9" t="s">
        <v>103</v>
      </c>
      <c r="K14" s="9"/>
      <c r="L14" s="9" t="s">
        <v>99</v>
      </c>
      <c r="M14" s="9" t="s">
        <v>100</v>
      </c>
      <c r="N14" s="9" t="s">
        <v>101</v>
      </c>
      <c r="O14" s="9" t="s">
        <v>102</v>
      </c>
      <c r="P14" s="9" t="s">
        <v>103</v>
      </c>
      <c r="U14" s="9"/>
      <c r="V14" s="9" t="s">
        <v>99</v>
      </c>
      <c r="W14" s="9" t="s">
        <v>100</v>
      </c>
      <c r="X14" s="9" t="s">
        <v>101</v>
      </c>
      <c r="Y14" s="9" t="s">
        <v>102</v>
      </c>
      <c r="Z14" s="9" t="s">
        <v>103</v>
      </c>
    </row>
    <row r="15" spans="1:26" x14ac:dyDescent="0.25">
      <c r="A15" t="s">
        <v>95</v>
      </c>
      <c r="B15">
        <v>1</v>
      </c>
      <c r="C15">
        <v>0.3972107867207727</v>
      </c>
      <c r="D15">
        <v>0.3972107867207727</v>
      </c>
      <c r="E15">
        <v>3269.8094802241176</v>
      </c>
      <c r="F15">
        <v>1.1111173537382854E-121</v>
      </c>
      <c r="K15" t="s">
        <v>95</v>
      </c>
      <c r="L15">
        <v>3</v>
      </c>
      <c r="M15">
        <v>0.39945807762934016</v>
      </c>
      <c r="N15">
        <v>0.13315269254311338</v>
      </c>
      <c r="O15">
        <v>1201.5556892876632</v>
      </c>
      <c r="P15">
        <v>2.3980536622538417E-122</v>
      </c>
      <c r="U15" t="s">
        <v>95</v>
      </c>
      <c r="V15">
        <v>4</v>
      </c>
      <c r="W15">
        <v>0.40052181646008739</v>
      </c>
      <c r="X15">
        <v>0.10013045411502185</v>
      </c>
      <c r="Y15">
        <v>947.11915275641638</v>
      </c>
      <c r="Z15">
        <v>6.7458046406645587E-123</v>
      </c>
    </row>
    <row r="16" spans="1:26" x14ac:dyDescent="0.25">
      <c r="A16" t="s">
        <v>96</v>
      </c>
      <c r="B16">
        <v>190</v>
      </c>
      <c r="C16">
        <v>2.3080870593039562E-2</v>
      </c>
      <c r="D16">
        <v>1.2147826627915559E-4</v>
      </c>
      <c r="K16" t="s">
        <v>96</v>
      </c>
      <c r="L16">
        <v>188</v>
      </c>
      <c r="M16">
        <v>2.0833579684472088E-2</v>
      </c>
      <c r="N16">
        <v>1.1081691321527706E-4</v>
      </c>
      <c r="U16" t="s">
        <v>96</v>
      </c>
      <c r="V16">
        <v>187</v>
      </c>
      <c r="W16">
        <v>1.9769840853724869E-2</v>
      </c>
      <c r="X16">
        <v>1.0572107408409021E-4</v>
      </c>
    </row>
    <row r="17" spans="1:31" ht="15.75" thickBot="1" x14ac:dyDescent="0.3">
      <c r="A17" s="8" t="s">
        <v>97</v>
      </c>
      <c r="B17" s="8">
        <v>191</v>
      </c>
      <c r="C17" s="8">
        <v>0.42029165731381224</v>
      </c>
      <c r="D17" s="8"/>
      <c r="E17" s="8"/>
      <c r="F17" s="8"/>
      <c r="K17" s="8" t="s">
        <v>97</v>
      </c>
      <c r="L17" s="8">
        <v>191</v>
      </c>
      <c r="M17" s="8">
        <v>0.42029165731381224</v>
      </c>
      <c r="N17" s="8"/>
      <c r="O17" s="8"/>
      <c r="P17" s="8"/>
      <c r="U17" s="8" t="s">
        <v>97</v>
      </c>
      <c r="V17" s="8">
        <v>191</v>
      </c>
      <c r="W17" s="8">
        <v>0.42029165731381224</v>
      </c>
      <c r="X17" s="8"/>
      <c r="Y17" s="8"/>
      <c r="Z17" s="8"/>
    </row>
    <row r="18" spans="1:31" ht="15.75" thickBot="1" x14ac:dyDescent="0.3"/>
    <row r="19" spans="1:31" x14ac:dyDescent="0.25">
      <c r="A19" s="9"/>
      <c r="B19" s="9" t="s">
        <v>104</v>
      </c>
      <c r="C19" s="9" t="s">
        <v>92</v>
      </c>
      <c r="D19" s="9" t="s">
        <v>105</v>
      </c>
      <c r="E19" s="9" t="s">
        <v>106</v>
      </c>
      <c r="F19" s="9" t="s">
        <v>107</v>
      </c>
      <c r="G19" s="9" t="s">
        <v>108</v>
      </c>
      <c r="H19" s="9" t="s">
        <v>109</v>
      </c>
      <c r="I19" s="9" t="s">
        <v>110</v>
      </c>
      <c r="K19" s="9"/>
      <c r="L19" s="9" t="s">
        <v>104</v>
      </c>
      <c r="M19" s="9" t="s">
        <v>92</v>
      </c>
      <c r="N19" s="9" t="s">
        <v>105</v>
      </c>
      <c r="O19" s="9" t="s">
        <v>106</v>
      </c>
      <c r="P19" s="9" t="s">
        <v>107</v>
      </c>
      <c r="Q19" s="9" t="s">
        <v>108</v>
      </c>
      <c r="R19" s="9" t="s">
        <v>109</v>
      </c>
      <c r="S19" s="9" t="s">
        <v>110</v>
      </c>
      <c r="U19" s="9"/>
      <c r="V19" s="9" t="s">
        <v>104</v>
      </c>
      <c r="W19" s="9" t="s">
        <v>92</v>
      </c>
      <c r="X19" s="9" t="s">
        <v>105</v>
      </c>
      <c r="Y19" s="9" t="s">
        <v>106</v>
      </c>
      <c r="Z19" s="9" t="s">
        <v>107</v>
      </c>
      <c r="AA19" s="9" t="s">
        <v>108</v>
      </c>
      <c r="AB19" s="9" t="s">
        <v>109</v>
      </c>
      <c r="AC19" s="9" t="s">
        <v>110</v>
      </c>
    </row>
    <row r="20" spans="1:31" x14ac:dyDescent="0.25">
      <c r="A20" t="s">
        <v>98</v>
      </c>
      <c r="B20">
        <v>-1.1242820030523803E-4</v>
      </c>
      <c r="C20">
        <v>7.9908242295500533E-4</v>
      </c>
      <c r="D20">
        <v>-0.14069662537373648</v>
      </c>
      <c r="E20">
        <v>0.88825866152091915</v>
      </c>
      <c r="F20">
        <v>-1.6886407993258789E-3</v>
      </c>
      <c r="G20">
        <v>1.4637843987154028E-3</v>
      </c>
      <c r="H20">
        <v>-1.6886407993258789E-3</v>
      </c>
      <c r="I20">
        <v>1.4637843987154028E-3</v>
      </c>
      <c r="K20" t="s">
        <v>98</v>
      </c>
      <c r="L20">
        <v>-4.8362611117045795E-4</v>
      </c>
      <c r="M20">
        <v>7.6852617059840038E-4</v>
      </c>
      <c r="N20">
        <v>-0.62929036078744116</v>
      </c>
      <c r="O20">
        <v>0.52992292431711552</v>
      </c>
      <c r="P20">
        <v>-1.9996690160285929E-3</v>
      </c>
      <c r="Q20">
        <v>1.0324167936876772E-3</v>
      </c>
      <c r="R20">
        <v>-1.9996690160285929E-3</v>
      </c>
      <c r="S20">
        <v>1.0324167936876772E-3</v>
      </c>
      <c r="U20" t="s">
        <v>98</v>
      </c>
      <c r="V20">
        <v>-7.5589699155220378E-4</v>
      </c>
      <c r="W20">
        <v>7.5553973966790045E-4</v>
      </c>
      <c r="X20">
        <v>-1.000472843274214</v>
      </c>
      <c r="Y20">
        <v>0.31837457349828757</v>
      </c>
      <c r="Z20">
        <v>-2.2463736829687626E-3</v>
      </c>
      <c r="AA20">
        <v>7.3457969986435512E-4</v>
      </c>
      <c r="AB20">
        <v>-2.2463736829687626E-3</v>
      </c>
      <c r="AC20">
        <v>7.3457969986435512E-4</v>
      </c>
    </row>
    <row r="21" spans="1:31" ht="15.75" thickBot="1" x14ac:dyDescent="0.3">
      <c r="A21" s="8" t="s">
        <v>87</v>
      </c>
      <c r="B21" s="8">
        <v>0.95407920634725851</v>
      </c>
      <c r="C21" s="8">
        <v>1.6684884568346617E-2</v>
      </c>
      <c r="D21" s="8">
        <v>57.18224794657975</v>
      </c>
      <c r="E21" s="8">
        <v>1.1111173537380958E-121</v>
      </c>
      <c r="F21" s="8">
        <v>0.921167801322756</v>
      </c>
      <c r="G21" s="8">
        <v>0.98699061137176103</v>
      </c>
      <c r="H21" s="8">
        <v>0.921167801322756</v>
      </c>
      <c r="I21" s="8">
        <v>0.98699061137176103</v>
      </c>
      <c r="K21" t="s">
        <v>87</v>
      </c>
      <c r="L21">
        <v>0.95672209613214332</v>
      </c>
      <c r="M21">
        <v>1.6543287161030474E-2</v>
      </c>
      <c r="N21">
        <v>57.831438626405948</v>
      </c>
      <c r="O21">
        <v>1.0651974592834234E-121</v>
      </c>
      <c r="P21">
        <v>0.92408777074022785</v>
      </c>
      <c r="Q21">
        <v>0.98935642152405878</v>
      </c>
      <c r="R21">
        <v>0.92408777074022785</v>
      </c>
      <c r="S21">
        <v>0.98935642152405878</v>
      </c>
      <c r="U21" t="s">
        <v>87</v>
      </c>
      <c r="V21">
        <v>0.97732591502378585</v>
      </c>
      <c r="W21">
        <v>1.7415124473392971E-2</v>
      </c>
      <c r="X21">
        <v>56.119375805608264</v>
      </c>
      <c r="Y21">
        <v>5.8709015847535061E-119</v>
      </c>
      <c r="Z21">
        <v>0.94297055852444445</v>
      </c>
      <c r="AA21">
        <v>1.0116812715231271</v>
      </c>
      <c r="AB21">
        <v>0.94297055852444445</v>
      </c>
      <c r="AC21">
        <v>1.0116812715231271</v>
      </c>
    </row>
    <row r="22" spans="1:31" x14ac:dyDescent="0.25">
      <c r="K22" t="s">
        <v>75</v>
      </c>
      <c r="L22">
        <v>3.9949548672787293E-2</v>
      </c>
      <c r="M22">
        <v>2.3442240044438702E-2</v>
      </c>
      <c r="N22">
        <v>1.7041694222504427</v>
      </c>
      <c r="O22">
        <v>9.000157747392909E-2</v>
      </c>
      <c r="P22">
        <v>-6.2940836887240142E-3</v>
      </c>
      <c r="Q22">
        <v>8.6193181034298599E-2</v>
      </c>
      <c r="R22">
        <v>-6.2940836887240142E-3</v>
      </c>
      <c r="S22">
        <v>8.6193181034298599E-2</v>
      </c>
      <c r="U22" t="s">
        <v>75</v>
      </c>
      <c r="V22">
        <v>2.8412489920353143E-2</v>
      </c>
      <c r="W22">
        <v>2.3183984829240167E-2</v>
      </c>
      <c r="X22">
        <v>1.2255222788326996</v>
      </c>
      <c r="Y22">
        <v>0.22191974402006598</v>
      </c>
      <c r="Z22">
        <v>-1.7323276430370394E-2</v>
      </c>
      <c r="AA22">
        <v>7.4148256271076685E-2</v>
      </c>
      <c r="AB22">
        <v>-1.7323276430370394E-2</v>
      </c>
      <c r="AC22">
        <v>7.4148256271076685E-2</v>
      </c>
    </row>
    <row r="23" spans="1:31" ht="15.75" thickBot="1" x14ac:dyDescent="0.3">
      <c r="K23" s="8" t="s">
        <v>76</v>
      </c>
      <c r="L23" s="8">
        <v>0.10924890984044065</v>
      </c>
      <c r="M23" s="8">
        <v>2.4373369196334128E-2</v>
      </c>
      <c r="N23" s="8">
        <v>4.4823064452194084</v>
      </c>
      <c r="O23" s="8">
        <v>1.2813456656728718E-5</v>
      </c>
      <c r="P23" s="8">
        <v>6.1168473739196594E-2</v>
      </c>
      <c r="Q23" s="8">
        <v>0.15732934594168471</v>
      </c>
      <c r="R23" s="8">
        <v>6.1168473739196594E-2</v>
      </c>
      <c r="S23" s="8">
        <v>0.15732934594168471</v>
      </c>
      <c r="U23" t="s">
        <v>76</v>
      </c>
      <c r="V23">
        <v>0.1240631604496364</v>
      </c>
      <c r="W23">
        <v>2.4260155722528157E-2</v>
      </c>
      <c r="X23">
        <v>5.1138649672570091</v>
      </c>
      <c r="Y23">
        <v>7.7752883919727342E-7</v>
      </c>
      <c r="Z23">
        <v>7.6204398380472257E-2</v>
      </c>
      <c r="AA23">
        <v>0.17192192251880056</v>
      </c>
      <c r="AB23">
        <v>7.6204398380472257E-2</v>
      </c>
      <c r="AC23">
        <v>0.17192192251880056</v>
      </c>
    </row>
    <row r="24" spans="1:31" ht="15.75" thickBot="1" x14ac:dyDescent="0.3">
      <c r="U24" s="8" t="s">
        <v>114</v>
      </c>
      <c r="V24" s="8">
        <v>4.4565455119391327E-2</v>
      </c>
      <c r="W24" s="8">
        <v>1.4049524400897689E-2</v>
      </c>
      <c r="X24" s="8">
        <v>3.1720258884025876</v>
      </c>
      <c r="Y24" s="8">
        <v>1.7696463232751115E-3</v>
      </c>
      <c r="Z24" s="8">
        <v>1.6849522329104676E-2</v>
      </c>
      <c r="AA24" s="8">
        <v>7.2281387909677974E-2</v>
      </c>
      <c r="AB24" s="8">
        <v>1.6849522329104676E-2</v>
      </c>
      <c r="AC24" s="8">
        <v>7.2281387909677974E-2</v>
      </c>
      <c r="AE24" s="8"/>
    </row>
    <row r="25" spans="1:31" ht="15.75" thickBot="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spans="1:31" x14ac:dyDescent="0.25">
      <c r="A26" s="11" t="s">
        <v>124</v>
      </c>
    </row>
    <row r="27" spans="1:31" x14ac:dyDescent="0.25">
      <c r="A27" t="s">
        <v>111</v>
      </c>
      <c r="K27" t="s">
        <v>112</v>
      </c>
      <c r="U27" t="s">
        <v>115</v>
      </c>
    </row>
    <row r="28" spans="1:31" ht="15.75" thickBot="1" x14ac:dyDescent="0.3"/>
    <row r="29" spans="1:31" x14ac:dyDescent="0.25">
      <c r="A29" s="10" t="s">
        <v>88</v>
      </c>
      <c r="B29" s="10"/>
      <c r="K29" s="10" t="s">
        <v>88</v>
      </c>
      <c r="L29" s="10"/>
      <c r="U29" s="10" t="s">
        <v>88</v>
      </c>
      <c r="V29" s="10"/>
    </row>
    <row r="30" spans="1:31" x14ac:dyDescent="0.25">
      <c r="A30" t="s">
        <v>89</v>
      </c>
      <c r="B30">
        <v>0.92817013493876344</v>
      </c>
      <c r="K30" t="s">
        <v>89</v>
      </c>
      <c r="L30">
        <v>0.95003729584553542</v>
      </c>
      <c r="U30" t="s">
        <v>89</v>
      </c>
      <c r="V30">
        <v>0.96439259248430498</v>
      </c>
    </row>
    <row r="31" spans="1:31" x14ac:dyDescent="0.25">
      <c r="A31" t="s">
        <v>90</v>
      </c>
      <c r="B31">
        <v>0.86149979939224242</v>
      </c>
      <c r="K31" t="s">
        <v>90</v>
      </c>
      <c r="L31">
        <v>0.90257086349749738</v>
      </c>
      <c r="U31" t="s">
        <v>90</v>
      </c>
      <c r="V31">
        <v>0.93005307243859869</v>
      </c>
    </row>
    <row r="32" spans="1:31" x14ac:dyDescent="0.25">
      <c r="A32" t="s">
        <v>91</v>
      </c>
      <c r="B32">
        <v>0.860770850967991</v>
      </c>
      <c r="K32" t="s">
        <v>91</v>
      </c>
      <c r="L32">
        <v>0.90101614323415957</v>
      </c>
      <c r="U32" t="s">
        <v>91</v>
      </c>
      <c r="V32">
        <v>0.92855688147471849</v>
      </c>
    </row>
    <row r="33" spans="1:29" x14ac:dyDescent="0.25">
      <c r="A33" t="s">
        <v>92</v>
      </c>
      <c r="B33">
        <v>2.0715821255820169E-2</v>
      </c>
      <c r="K33" t="s">
        <v>92</v>
      </c>
      <c r="L33">
        <v>1.7467037654079049E-2</v>
      </c>
      <c r="U33" t="s">
        <v>92</v>
      </c>
      <c r="V33">
        <v>1.4839431809395823E-2</v>
      </c>
    </row>
    <row r="34" spans="1:29" ht="15.75" thickBot="1" x14ac:dyDescent="0.3">
      <c r="A34" s="8" t="s">
        <v>93</v>
      </c>
      <c r="B34" s="8">
        <v>192</v>
      </c>
      <c r="K34" s="8" t="s">
        <v>93</v>
      </c>
      <c r="L34" s="8">
        <v>192</v>
      </c>
      <c r="U34" s="8" t="s">
        <v>93</v>
      </c>
      <c r="V34" s="8">
        <v>192</v>
      </c>
    </row>
    <row r="36" spans="1:29" ht="15.75" thickBot="1" x14ac:dyDescent="0.3">
      <c r="A36" t="s">
        <v>94</v>
      </c>
      <c r="K36" t="s">
        <v>94</v>
      </c>
      <c r="U36" t="s">
        <v>94</v>
      </c>
    </row>
    <row r="37" spans="1:29" x14ac:dyDescent="0.25">
      <c r="A37" s="9"/>
      <c r="B37" s="9" t="s">
        <v>99</v>
      </c>
      <c r="C37" s="9" t="s">
        <v>100</v>
      </c>
      <c r="D37" s="9" t="s">
        <v>101</v>
      </c>
      <c r="E37" s="9" t="s">
        <v>102</v>
      </c>
      <c r="F37" s="9" t="s">
        <v>103</v>
      </c>
      <c r="K37" s="9"/>
      <c r="L37" s="9" t="s">
        <v>99</v>
      </c>
      <c r="M37" s="9" t="s">
        <v>100</v>
      </c>
      <c r="N37" s="9" t="s">
        <v>101</v>
      </c>
      <c r="O37" s="9" t="s">
        <v>102</v>
      </c>
      <c r="P37" s="9" t="s">
        <v>103</v>
      </c>
      <c r="U37" s="9"/>
      <c r="V37" s="9" t="s">
        <v>99</v>
      </c>
      <c r="W37" s="9" t="s">
        <v>100</v>
      </c>
      <c r="X37" s="9" t="s">
        <v>101</v>
      </c>
      <c r="Y37" s="9" t="s">
        <v>102</v>
      </c>
      <c r="Z37" s="9" t="s">
        <v>103</v>
      </c>
    </row>
    <row r="38" spans="1:29" x14ac:dyDescent="0.25">
      <c r="A38" t="s">
        <v>95</v>
      </c>
      <c r="B38">
        <v>1</v>
      </c>
      <c r="C38">
        <v>0.50718066566361586</v>
      </c>
      <c r="D38">
        <v>0.50718066566361586</v>
      </c>
      <c r="E38">
        <v>1181.8391682196443</v>
      </c>
      <c r="F38">
        <v>1.7052559312589773E-83</v>
      </c>
      <c r="K38" t="s">
        <v>95</v>
      </c>
      <c r="L38">
        <v>3</v>
      </c>
      <c r="M38">
        <v>0.53135995119230828</v>
      </c>
      <c r="N38">
        <v>0.17711998373076943</v>
      </c>
      <c r="O38">
        <v>580.53585894595608</v>
      </c>
      <c r="P38">
        <v>9.0257819670574944E-95</v>
      </c>
      <c r="U38" t="s">
        <v>95</v>
      </c>
      <c r="V38">
        <v>4</v>
      </c>
      <c r="W38">
        <v>0.54753922950959566</v>
      </c>
      <c r="X38">
        <v>0.13688480737739891</v>
      </c>
      <c r="Y38">
        <v>621.61388144370676</v>
      </c>
      <c r="Z38">
        <v>8.5143819896116814E-107</v>
      </c>
    </row>
    <row r="39" spans="1:29" x14ac:dyDescent="0.25">
      <c r="A39" t="s">
        <v>96</v>
      </c>
      <c r="B39">
        <v>190</v>
      </c>
      <c r="C39">
        <v>8.1537597557587244E-2</v>
      </c>
      <c r="D39">
        <v>4.2914525030309078E-4</v>
      </c>
      <c r="K39" t="s">
        <v>96</v>
      </c>
      <c r="L39">
        <v>188</v>
      </c>
      <c r="M39">
        <v>5.7358312028894867E-2</v>
      </c>
      <c r="N39">
        <v>3.0509740440901528E-4</v>
      </c>
      <c r="U39" t="s">
        <v>96</v>
      </c>
      <c r="V39">
        <v>187</v>
      </c>
      <c r="W39">
        <v>4.1179033711607513E-2</v>
      </c>
      <c r="X39">
        <v>2.2020873642570861E-4</v>
      </c>
    </row>
    <row r="40" spans="1:29" ht="15.75" thickBot="1" x14ac:dyDescent="0.3">
      <c r="A40" s="8" t="s">
        <v>97</v>
      </c>
      <c r="B40" s="8">
        <v>191</v>
      </c>
      <c r="C40" s="8">
        <v>0.58871826322120313</v>
      </c>
      <c r="D40" s="8"/>
      <c r="E40" s="8"/>
      <c r="F40" s="8"/>
      <c r="K40" s="8" t="s">
        <v>97</v>
      </c>
      <c r="L40" s="8">
        <v>191</v>
      </c>
      <c r="M40" s="8">
        <v>0.58871826322120313</v>
      </c>
      <c r="N40" s="8"/>
      <c r="O40" s="8"/>
      <c r="P40" s="8"/>
      <c r="U40" s="8" t="s">
        <v>97</v>
      </c>
      <c r="V40" s="8">
        <v>191</v>
      </c>
      <c r="W40" s="8">
        <v>0.58871826322120313</v>
      </c>
      <c r="X40" s="8"/>
      <c r="Y40" s="8"/>
      <c r="Z40" s="8"/>
    </row>
    <row r="41" spans="1:29" ht="15.75" thickBot="1" x14ac:dyDescent="0.3"/>
    <row r="42" spans="1:29" x14ac:dyDescent="0.25">
      <c r="A42" s="9"/>
      <c r="B42" s="9" t="s">
        <v>104</v>
      </c>
      <c r="C42" s="9" t="s">
        <v>92</v>
      </c>
      <c r="D42" s="9" t="s">
        <v>105</v>
      </c>
      <c r="E42" s="9" t="s">
        <v>106</v>
      </c>
      <c r="F42" s="9" t="s">
        <v>107</v>
      </c>
      <c r="G42" s="9" t="s">
        <v>108</v>
      </c>
      <c r="H42" s="9" t="s">
        <v>109</v>
      </c>
      <c r="I42" s="9" t="s">
        <v>110</v>
      </c>
      <c r="K42" s="9"/>
      <c r="L42" s="9" t="s">
        <v>104</v>
      </c>
      <c r="M42" s="9" t="s">
        <v>92</v>
      </c>
      <c r="N42" s="9" t="s">
        <v>105</v>
      </c>
      <c r="O42" s="9" t="s">
        <v>106</v>
      </c>
      <c r="P42" s="9" t="s">
        <v>107</v>
      </c>
      <c r="Q42" s="9" t="s">
        <v>108</v>
      </c>
      <c r="R42" s="9" t="s">
        <v>109</v>
      </c>
      <c r="S42" s="9" t="s">
        <v>110</v>
      </c>
      <c r="U42" s="9"/>
      <c r="V42" s="9" t="s">
        <v>104</v>
      </c>
      <c r="W42" s="9" t="s">
        <v>92</v>
      </c>
      <c r="X42" s="9" t="s">
        <v>105</v>
      </c>
      <c r="Y42" s="9" t="s">
        <v>106</v>
      </c>
      <c r="Z42" s="9" t="s">
        <v>107</v>
      </c>
      <c r="AA42" s="9" t="s">
        <v>108</v>
      </c>
      <c r="AB42" s="9" t="s">
        <v>109</v>
      </c>
      <c r="AC42" s="9" t="s">
        <v>110</v>
      </c>
    </row>
    <row r="43" spans="1:29" x14ac:dyDescent="0.25">
      <c r="A43" t="s">
        <v>98</v>
      </c>
      <c r="B43">
        <v>-1.0032126378897808E-3</v>
      </c>
      <c r="C43">
        <v>1.5019118378343094E-3</v>
      </c>
      <c r="D43">
        <v>-0.66795707485491906</v>
      </c>
      <c r="E43">
        <v>0.50497156101980178</v>
      </c>
      <c r="F43">
        <v>-3.9657760648993418E-3</v>
      </c>
      <c r="G43">
        <v>1.9593507891197798E-3</v>
      </c>
      <c r="H43">
        <v>-3.9657760648993418E-3</v>
      </c>
      <c r="I43">
        <v>1.9593507891197798E-3</v>
      </c>
      <c r="K43" t="s">
        <v>98</v>
      </c>
      <c r="L43">
        <v>-6.0577963273595139E-5</v>
      </c>
      <c r="M43">
        <v>1.275189984819119E-3</v>
      </c>
      <c r="N43">
        <v>-4.7505049439505988E-2</v>
      </c>
      <c r="O43">
        <v>0.9621611326149011</v>
      </c>
      <c r="P43">
        <v>-2.5760976720245543E-3</v>
      </c>
      <c r="Q43">
        <v>2.4549417454773643E-3</v>
      </c>
      <c r="R43">
        <v>-2.5760976720245543E-3</v>
      </c>
      <c r="S43">
        <v>2.4549417454773643E-3</v>
      </c>
      <c r="U43" t="s">
        <v>98</v>
      </c>
      <c r="V43">
        <v>-1.1224281849298362E-3</v>
      </c>
      <c r="W43">
        <v>1.090419981728895E-3</v>
      </c>
      <c r="X43">
        <v>-1.0293540138086896</v>
      </c>
      <c r="Y43">
        <v>0.3046429004873395</v>
      </c>
      <c r="Z43">
        <v>-3.2735335223356083E-3</v>
      </c>
      <c r="AA43">
        <v>1.0286771524759359E-3</v>
      </c>
      <c r="AB43">
        <v>-3.2735335223356083E-3</v>
      </c>
      <c r="AC43">
        <v>1.0286771524759359E-3</v>
      </c>
    </row>
    <row r="44" spans="1:29" ht="15.75" thickBot="1" x14ac:dyDescent="0.3">
      <c r="A44" s="8" t="s">
        <v>87</v>
      </c>
      <c r="B44" s="8">
        <v>1.0780905978778448</v>
      </c>
      <c r="C44" s="8">
        <v>3.1360001079024875E-2</v>
      </c>
      <c r="D44" s="8">
        <v>34.377887780078083</v>
      </c>
      <c r="E44" s="8">
        <v>1.7052559312592684E-83</v>
      </c>
      <c r="F44" s="8">
        <v>1.0162321119618767</v>
      </c>
      <c r="G44" s="8">
        <v>1.1399490837938129</v>
      </c>
      <c r="H44" s="8">
        <v>1.0162321119618767</v>
      </c>
      <c r="I44" s="8">
        <v>1.1399490837938129</v>
      </c>
      <c r="K44" t="s">
        <v>87</v>
      </c>
      <c r="L44">
        <v>1.0466963419219992</v>
      </c>
      <c r="M44">
        <v>2.7449727687616478E-2</v>
      </c>
      <c r="N44">
        <v>38.131392552728315</v>
      </c>
      <c r="O44">
        <v>2.0705100201963553E-90</v>
      </c>
      <c r="P44">
        <v>0.99254728819661209</v>
      </c>
      <c r="Q44">
        <v>1.1008453956473865</v>
      </c>
      <c r="R44">
        <v>0.99254728819661209</v>
      </c>
      <c r="S44">
        <v>1.1008453956473865</v>
      </c>
      <c r="U44" t="s">
        <v>87</v>
      </c>
      <c r="V44">
        <v>1.1270507655253676</v>
      </c>
      <c r="W44">
        <v>2.5134084566393051E-2</v>
      </c>
      <c r="X44">
        <v>44.841528345629683</v>
      </c>
      <c r="Y44">
        <v>5.3274750690150077E-102</v>
      </c>
      <c r="Z44">
        <v>1.07746797690492</v>
      </c>
      <c r="AA44">
        <v>1.1766335541458153</v>
      </c>
      <c r="AB44">
        <v>1.07746797690492</v>
      </c>
      <c r="AC44">
        <v>1.1766335541458153</v>
      </c>
    </row>
    <row r="45" spans="1:29" x14ac:dyDescent="0.25">
      <c r="K45" t="s">
        <v>75</v>
      </c>
      <c r="L45">
        <v>-7.4978773626687006E-3</v>
      </c>
      <c r="M45">
        <v>3.8896931386367739E-2</v>
      </c>
      <c r="N45">
        <v>-0.19276269606441221</v>
      </c>
      <c r="O45">
        <v>0.84735289611216957</v>
      </c>
      <c r="P45">
        <v>-8.4228402756671789E-2</v>
      </c>
      <c r="Q45">
        <v>6.9232648031334387E-2</v>
      </c>
      <c r="R45">
        <v>-8.4228402756671789E-2</v>
      </c>
      <c r="S45">
        <v>6.9232648031334387E-2</v>
      </c>
      <c r="U45" t="s">
        <v>75</v>
      </c>
      <c r="V45">
        <v>-5.2492143280334497E-2</v>
      </c>
      <c r="W45">
        <v>3.3459894942144353E-2</v>
      </c>
      <c r="X45">
        <v>-1.5688077733387653</v>
      </c>
      <c r="Y45">
        <v>0.11838329225458369</v>
      </c>
      <c r="Z45">
        <v>-0.11849951640730462</v>
      </c>
      <c r="AA45">
        <v>1.3515229846635626E-2</v>
      </c>
      <c r="AB45">
        <v>-0.11849951640730462</v>
      </c>
      <c r="AC45">
        <v>1.3515229846635626E-2</v>
      </c>
    </row>
    <row r="46" spans="1:29" ht="15.75" thickBot="1" x14ac:dyDescent="0.3">
      <c r="K46" s="8" t="s">
        <v>76</v>
      </c>
      <c r="L46" s="8">
        <v>-0.34698770837671988</v>
      </c>
      <c r="M46" s="8">
        <v>4.0441923104926454E-2</v>
      </c>
      <c r="N46" s="8">
        <v>-8.5799012939236654</v>
      </c>
      <c r="O46" s="8">
        <v>3.5040682014056512E-15</v>
      </c>
      <c r="P46" s="8">
        <v>-0.42676598129396182</v>
      </c>
      <c r="Q46" s="8">
        <v>-0.26720943545947795</v>
      </c>
      <c r="R46" s="8">
        <v>-0.42676598129396182</v>
      </c>
      <c r="S46" s="8">
        <v>-0.26720943545947795</v>
      </c>
      <c r="U46" t="s">
        <v>76</v>
      </c>
      <c r="V46">
        <v>-0.28921246898648584</v>
      </c>
      <c r="W46">
        <v>3.5013060426612543E-2</v>
      </c>
      <c r="X46">
        <v>-8.2601310900164204</v>
      </c>
      <c r="Y46">
        <v>2.5998140295222788E-14</v>
      </c>
      <c r="Z46">
        <v>-0.35828381986468594</v>
      </c>
      <c r="AA46">
        <v>-0.22014111810828574</v>
      </c>
      <c r="AB46">
        <v>-0.35828381986468594</v>
      </c>
      <c r="AC46">
        <v>-0.22014111810828574</v>
      </c>
    </row>
    <row r="47" spans="1:29" ht="15.75" thickBot="1" x14ac:dyDescent="0.3">
      <c r="U47" s="8" t="s">
        <v>114</v>
      </c>
      <c r="V47" s="8">
        <v>0.17380425820927645</v>
      </c>
      <c r="W47" s="8">
        <v>2.027673904652642E-2</v>
      </c>
      <c r="X47" s="8">
        <v>8.5716079794916826</v>
      </c>
      <c r="Y47" s="8">
        <v>3.7848787987151581E-15</v>
      </c>
      <c r="Z47" s="8">
        <v>0.13380370583585952</v>
      </c>
      <c r="AA47" s="8">
        <v>0.21380481058269338</v>
      </c>
      <c r="AB47" s="8">
        <v>0.13380370583585952</v>
      </c>
      <c r="AC47" s="8">
        <v>0.21380481058269338</v>
      </c>
    </row>
    <row r="48" spans="1:29" ht="15.75" thickBot="1"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row>
    <row r="49" spans="1:26" x14ac:dyDescent="0.25">
      <c r="A49" s="11" t="s">
        <v>62</v>
      </c>
    </row>
    <row r="50" spans="1:26" x14ac:dyDescent="0.25">
      <c r="A50" t="s">
        <v>111</v>
      </c>
      <c r="K50" t="s">
        <v>112</v>
      </c>
      <c r="U50" t="s">
        <v>115</v>
      </c>
    </row>
    <row r="51" spans="1:26" ht="15.75" thickBot="1" x14ac:dyDescent="0.3"/>
    <row r="52" spans="1:26" x14ac:dyDescent="0.25">
      <c r="A52" s="10" t="s">
        <v>88</v>
      </c>
      <c r="B52" s="10"/>
      <c r="K52" s="10" t="s">
        <v>88</v>
      </c>
      <c r="L52" s="10"/>
      <c r="U52" s="10" t="s">
        <v>88</v>
      </c>
      <c r="V52" s="10"/>
    </row>
    <row r="53" spans="1:26" x14ac:dyDescent="0.25">
      <c r="A53" t="s">
        <v>89</v>
      </c>
      <c r="B53">
        <v>0.98709797385644682</v>
      </c>
      <c r="K53" t="s">
        <v>89</v>
      </c>
      <c r="L53">
        <v>0.99680335250870211</v>
      </c>
      <c r="U53" t="s">
        <v>89</v>
      </c>
      <c r="V53">
        <v>0.99715049603470041</v>
      </c>
    </row>
    <row r="54" spans="1:26" x14ac:dyDescent="0.25">
      <c r="A54" t="s">
        <v>90</v>
      </c>
      <c r="B54">
        <v>0.97436240999150259</v>
      </c>
      <c r="K54" t="s">
        <v>90</v>
      </c>
      <c r="L54">
        <v>0.9936169235725878</v>
      </c>
      <c r="U54" t="s">
        <v>90</v>
      </c>
      <c r="V54">
        <v>0.99430911174224912</v>
      </c>
    </row>
    <row r="55" spans="1:26" x14ac:dyDescent="0.25">
      <c r="A55" t="s">
        <v>91</v>
      </c>
      <c r="B55">
        <v>0.97422747530724729</v>
      </c>
      <c r="K55" t="s">
        <v>91</v>
      </c>
      <c r="L55">
        <v>0.9935150659700227</v>
      </c>
      <c r="U55" t="s">
        <v>91</v>
      </c>
      <c r="V55">
        <v>0.99418738151213681</v>
      </c>
    </row>
    <row r="56" spans="1:26" x14ac:dyDescent="0.25">
      <c r="A56" t="s">
        <v>92</v>
      </c>
      <c r="B56">
        <v>7.3458233679136271E-3</v>
      </c>
      <c r="K56" t="s">
        <v>92</v>
      </c>
      <c r="L56">
        <v>3.684807295245591E-3</v>
      </c>
      <c r="U56" t="s">
        <v>92</v>
      </c>
      <c r="V56">
        <v>3.4885737506705162E-3</v>
      </c>
    </row>
    <row r="57" spans="1:26" ht="15.75" thickBot="1" x14ac:dyDescent="0.3">
      <c r="A57" s="8" t="s">
        <v>93</v>
      </c>
      <c r="B57" s="8">
        <v>192</v>
      </c>
      <c r="K57" s="8" t="s">
        <v>93</v>
      </c>
      <c r="L57" s="8">
        <v>192</v>
      </c>
      <c r="U57" s="8" t="s">
        <v>93</v>
      </c>
      <c r="V57" s="8">
        <v>192</v>
      </c>
    </row>
    <row r="59" spans="1:26" ht="15.75" thickBot="1" x14ac:dyDescent="0.3">
      <c r="A59" t="s">
        <v>94</v>
      </c>
      <c r="K59" t="s">
        <v>94</v>
      </c>
      <c r="U59" t="s">
        <v>94</v>
      </c>
    </row>
    <row r="60" spans="1:26" x14ac:dyDescent="0.25">
      <c r="A60" s="9"/>
      <c r="B60" s="9" t="s">
        <v>99</v>
      </c>
      <c r="C60" s="9" t="s">
        <v>100</v>
      </c>
      <c r="D60" s="9" t="s">
        <v>101</v>
      </c>
      <c r="E60" s="9" t="s">
        <v>102</v>
      </c>
      <c r="F60" s="9" t="s">
        <v>103</v>
      </c>
      <c r="K60" s="9"/>
      <c r="L60" s="9" t="s">
        <v>99</v>
      </c>
      <c r="M60" s="9" t="s">
        <v>100</v>
      </c>
      <c r="N60" s="9" t="s">
        <v>101</v>
      </c>
      <c r="O60" s="9" t="s">
        <v>102</v>
      </c>
      <c r="P60" s="9" t="s">
        <v>103</v>
      </c>
      <c r="U60" s="9"/>
      <c r="V60" s="9" t="s">
        <v>99</v>
      </c>
      <c r="W60" s="9" t="s">
        <v>100</v>
      </c>
      <c r="X60" s="9" t="s">
        <v>101</v>
      </c>
      <c r="Y60" s="9" t="s">
        <v>102</v>
      </c>
      <c r="Z60" s="9" t="s">
        <v>103</v>
      </c>
    </row>
    <row r="61" spans="1:26" x14ac:dyDescent="0.25">
      <c r="A61" t="s">
        <v>95</v>
      </c>
      <c r="B61">
        <v>1</v>
      </c>
      <c r="C61">
        <v>0.3896528764816754</v>
      </c>
      <c r="D61">
        <v>0.3896528764816754</v>
      </c>
      <c r="E61">
        <v>7220.9929964956118</v>
      </c>
      <c r="F61">
        <v>4.0823091083210844E-153</v>
      </c>
      <c r="K61" t="s">
        <v>95</v>
      </c>
      <c r="L61">
        <v>3</v>
      </c>
      <c r="M61">
        <v>0.39735286215968485</v>
      </c>
      <c r="N61">
        <v>0.13245095405322829</v>
      </c>
      <c r="O61">
        <v>9754.9608330674655</v>
      </c>
      <c r="P61">
        <v>5.154585847818035E-206</v>
      </c>
      <c r="U61" t="s">
        <v>95</v>
      </c>
      <c r="V61">
        <v>4</v>
      </c>
      <c r="W61">
        <v>0.39762967200847354</v>
      </c>
      <c r="X61">
        <v>9.9407418002118386E-2</v>
      </c>
      <c r="Y61">
        <v>8168.1363029119711</v>
      </c>
      <c r="Z61">
        <v>1.2086901179600477E-208</v>
      </c>
    </row>
    <row r="62" spans="1:26" x14ac:dyDescent="0.25">
      <c r="A62" t="s">
        <v>96</v>
      </c>
      <c r="B62">
        <v>190</v>
      </c>
      <c r="C62">
        <v>1.0252612980991321E-2</v>
      </c>
      <c r="D62">
        <v>5.3961120952585899E-5</v>
      </c>
      <c r="K62" t="s">
        <v>96</v>
      </c>
      <c r="L62">
        <v>188</v>
      </c>
      <c r="M62">
        <v>2.5526273029818844E-3</v>
      </c>
      <c r="N62">
        <v>1.3577804803095129E-5</v>
      </c>
      <c r="U62" t="s">
        <v>96</v>
      </c>
      <c r="V62">
        <v>187</v>
      </c>
      <c r="W62">
        <v>2.2758174541931951E-3</v>
      </c>
      <c r="X62">
        <v>1.2170146813867353E-5</v>
      </c>
    </row>
    <row r="63" spans="1:26" ht="15.75" thickBot="1" x14ac:dyDescent="0.3">
      <c r="A63" s="8" t="s">
        <v>97</v>
      </c>
      <c r="B63" s="8">
        <v>191</v>
      </c>
      <c r="C63" s="8">
        <v>0.39990548946266674</v>
      </c>
      <c r="D63" s="8"/>
      <c r="E63" s="8"/>
      <c r="F63" s="8"/>
      <c r="K63" s="8" t="s">
        <v>97</v>
      </c>
      <c r="L63" s="8">
        <v>191</v>
      </c>
      <c r="M63" s="8">
        <v>0.39990548946266674</v>
      </c>
      <c r="N63" s="8"/>
      <c r="O63" s="8"/>
      <c r="P63" s="8"/>
      <c r="U63" s="8" t="s">
        <v>97</v>
      </c>
      <c r="V63" s="8">
        <v>191</v>
      </c>
      <c r="W63" s="8">
        <v>0.39990548946266674</v>
      </c>
      <c r="X63" s="8"/>
      <c r="Y63" s="8"/>
      <c r="Z63" s="8"/>
    </row>
    <row r="64" spans="1:26" ht="15.75" thickBot="1" x14ac:dyDescent="0.3"/>
    <row r="65" spans="1:29" x14ac:dyDescent="0.25">
      <c r="A65" s="9"/>
      <c r="B65" s="9" t="s">
        <v>104</v>
      </c>
      <c r="C65" s="9" t="s">
        <v>92</v>
      </c>
      <c r="D65" s="9" t="s">
        <v>105</v>
      </c>
      <c r="E65" s="9" t="s">
        <v>106</v>
      </c>
      <c r="F65" s="9" t="s">
        <v>107</v>
      </c>
      <c r="G65" s="9" t="s">
        <v>108</v>
      </c>
      <c r="H65" s="9" t="s">
        <v>109</v>
      </c>
      <c r="I65" s="9" t="s">
        <v>110</v>
      </c>
      <c r="K65" s="9"/>
      <c r="L65" s="9" t="s">
        <v>104</v>
      </c>
      <c r="M65" s="9" t="s">
        <v>92</v>
      </c>
      <c r="N65" s="9" t="s">
        <v>105</v>
      </c>
      <c r="O65" s="9" t="s">
        <v>106</v>
      </c>
      <c r="P65" s="9" t="s">
        <v>107</v>
      </c>
      <c r="Q65" s="9" t="s">
        <v>108</v>
      </c>
      <c r="R65" s="9" t="s">
        <v>109</v>
      </c>
      <c r="S65" s="9" t="s">
        <v>110</v>
      </c>
      <c r="U65" s="9"/>
      <c r="V65" s="9" t="s">
        <v>104</v>
      </c>
      <c r="W65" s="9" t="s">
        <v>92</v>
      </c>
      <c r="X65" s="9" t="s">
        <v>105</v>
      </c>
      <c r="Y65" s="9" t="s">
        <v>106</v>
      </c>
      <c r="Z65" s="9" t="s">
        <v>107</v>
      </c>
      <c r="AA65" s="9" t="s">
        <v>108</v>
      </c>
      <c r="AB65" s="9" t="s">
        <v>109</v>
      </c>
      <c r="AC65" s="9" t="s">
        <v>110</v>
      </c>
    </row>
    <row r="66" spans="1:29" x14ac:dyDescent="0.25">
      <c r="A66" t="s">
        <v>98</v>
      </c>
      <c r="B66">
        <v>-3.3373050809787363E-4</v>
      </c>
      <c r="C66">
        <v>5.3257744110963884E-4</v>
      </c>
      <c r="D66">
        <v>-0.6266328280870056</v>
      </c>
      <c r="E66">
        <v>0.53165211808640878</v>
      </c>
      <c r="F66">
        <v>-1.3842545197847807E-3</v>
      </c>
      <c r="G66">
        <v>7.167935035890334E-4</v>
      </c>
      <c r="H66">
        <v>-1.3842545197847807E-3</v>
      </c>
      <c r="I66">
        <v>7.167935035890334E-4</v>
      </c>
      <c r="K66" t="s">
        <v>98</v>
      </c>
      <c r="L66">
        <v>-9.5550758886481425E-5</v>
      </c>
      <c r="M66">
        <v>2.6901123429984102E-4</v>
      </c>
      <c r="N66">
        <v>-0.35519244813389528</v>
      </c>
      <c r="O66">
        <v>0.72284359308095947</v>
      </c>
      <c r="P66">
        <v>-6.2621918462122403E-4</v>
      </c>
      <c r="Q66">
        <v>4.3511766684826113E-4</v>
      </c>
      <c r="R66">
        <v>-6.2621918462122403E-4</v>
      </c>
      <c r="S66">
        <v>4.3511766684826113E-4</v>
      </c>
      <c r="U66" t="s">
        <v>98</v>
      </c>
      <c r="V66">
        <v>4.3340354124747743E-5</v>
      </c>
      <c r="W66">
        <v>2.5634475593987882E-4</v>
      </c>
      <c r="X66">
        <v>0.16907057047389909</v>
      </c>
      <c r="Y66">
        <v>0.86592387623872724</v>
      </c>
      <c r="Z66">
        <v>-4.6235890116948523E-4</v>
      </c>
      <c r="AA66">
        <v>5.4903960941898075E-4</v>
      </c>
      <c r="AB66">
        <v>-4.6235890116948523E-4</v>
      </c>
      <c r="AC66">
        <v>5.4903960941898075E-4</v>
      </c>
    </row>
    <row r="67" spans="1:29" ht="15.75" thickBot="1" x14ac:dyDescent="0.3">
      <c r="A67" s="8" t="s">
        <v>87</v>
      </c>
      <c r="B67" s="8">
        <v>0.94495876385799482</v>
      </c>
      <c r="C67" s="8">
        <v>1.1120246013870955E-2</v>
      </c>
      <c r="D67" s="8">
        <v>84.976426122164085</v>
      </c>
      <c r="E67" s="8">
        <v>4.0823091083210844E-153</v>
      </c>
      <c r="F67" s="8">
        <v>0.92302376520484664</v>
      </c>
      <c r="G67" s="8">
        <v>0.96689376251114301</v>
      </c>
      <c r="H67" s="8">
        <v>0.92302376520484664</v>
      </c>
      <c r="I67" s="8">
        <v>0.96689376251114301</v>
      </c>
      <c r="K67" t="s">
        <v>87</v>
      </c>
      <c r="L67">
        <v>0.98195768876250678</v>
      </c>
      <c r="M67">
        <v>5.790733313740434E-3</v>
      </c>
      <c r="N67">
        <v>169.5739789004765</v>
      </c>
      <c r="O67">
        <v>1.415653065944367E-207</v>
      </c>
      <c r="P67">
        <v>0.97053452519296146</v>
      </c>
      <c r="Q67">
        <v>0.99338085233205209</v>
      </c>
      <c r="R67">
        <v>0.97053452519296146</v>
      </c>
      <c r="S67">
        <v>0.99338085233205209</v>
      </c>
      <c r="U67" t="s">
        <v>87</v>
      </c>
      <c r="V67">
        <v>0.97144724660971526</v>
      </c>
      <c r="W67">
        <v>5.9087240530283913E-3</v>
      </c>
      <c r="X67">
        <v>164.40897186793154</v>
      </c>
      <c r="Y67">
        <v>3.3580242131723028E-204</v>
      </c>
      <c r="Z67">
        <v>0.95979092330245641</v>
      </c>
      <c r="AA67">
        <v>0.98310356991697412</v>
      </c>
      <c r="AB67">
        <v>0.95979092330245641</v>
      </c>
      <c r="AC67">
        <v>0.98310356991697412</v>
      </c>
    </row>
    <row r="68" spans="1:29" x14ac:dyDescent="0.25">
      <c r="K68" t="s">
        <v>75</v>
      </c>
      <c r="L68">
        <v>-0.17291976677109147</v>
      </c>
      <c r="M68">
        <v>8.2056098677776648E-3</v>
      </c>
      <c r="N68">
        <v>-21.07335951348654</v>
      </c>
      <c r="O68">
        <v>2.1768191867406037E-51</v>
      </c>
      <c r="P68">
        <v>-0.18910666722549235</v>
      </c>
      <c r="Q68">
        <v>-0.15673286631669059</v>
      </c>
      <c r="R68">
        <v>-0.18910666722549235</v>
      </c>
      <c r="S68">
        <v>-0.15673286631669059</v>
      </c>
      <c r="U68" t="s">
        <v>75</v>
      </c>
      <c r="V68">
        <v>-0.16703447000797544</v>
      </c>
      <c r="W68">
        <v>7.8660229511921202E-3</v>
      </c>
      <c r="X68">
        <v>-21.234932957150964</v>
      </c>
      <c r="Y68">
        <v>1.0261746932371718E-51</v>
      </c>
      <c r="Z68">
        <v>-0.18255201759329892</v>
      </c>
      <c r="AA68">
        <v>-0.15151692242265197</v>
      </c>
      <c r="AB68">
        <v>-0.18255201759329892</v>
      </c>
      <c r="AC68">
        <v>-0.15151692242265197</v>
      </c>
    </row>
    <row r="69" spans="1:29" ht="15.75" thickBot="1" x14ac:dyDescent="0.3">
      <c r="K69" s="8" t="s">
        <v>76</v>
      </c>
      <c r="L69" s="8">
        <v>3.8942940299569656E-2</v>
      </c>
      <c r="M69" s="8">
        <v>8.5315378739103873E-3</v>
      </c>
      <c r="N69" s="8">
        <v>4.5645862299525088</v>
      </c>
      <c r="O69" s="8">
        <v>9.0239331847918083E-6</v>
      </c>
      <c r="P69" s="8">
        <v>2.2113093827068511E-2</v>
      </c>
      <c r="Q69" s="8">
        <v>5.5772786772070801E-2</v>
      </c>
      <c r="R69" s="8">
        <v>2.2113093827068511E-2</v>
      </c>
      <c r="S69" s="8">
        <v>5.5772786772070801E-2</v>
      </c>
      <c r="U69" t="s">
        <v>76</v>
      </c>
      <c r="V69">
        <v>3.1385878917707666E-2</v>
      </c>
      <c r="W69">
        <v>8.2311536657072443E-3</v>
      </c>
      <c r="X69">
        <v>3.8130595287593749</v>
      </c>
      <c r="Y69">
        <v>1.8627231197972124E-4</v>
      </c>
      <c r="Z69">
        <v>1.5148026640609446E-2</v>
      </c>
      <c r="AA69">
        <v>4.7623731194805882E-2</v>
      </c>
      <c r="AB69">
        <v>1.5148026640609446E-2</v>
      </c>
      <c r="AC69">
        <v>4.7623731194805882E-2</v>
      </c>
    </row>
    <row r="70" spans="1:29" ht="15.75" thickBot="1" x14ac:dyDescent="0.3">
      <c r="U70" s="8" t="s">
        <v>114</v>
      </c>
      <c r="V70" s="8">
        <v>-2.273377768017551E-2</v>
      </c>
      <c r="W70" s="8">
        <v>4.7668199494080212E-3</v>
      </c>
      <c r="X70" s="8">
        <v>-4.7691706255863009</v>
      </c>
      <c r="Y70" s="8">
        <v>3.7125561479795497E-6</v>
      </c>
      <c r="Z70" s="8">
        <v>-3.2137431325045422E-2</v>
      </c>
      <c r="AA70" s="8">
        <v>-1.3330124035305597E-2</v>
      </c>
      <c r="AB70" s="8">
        <v>-3.2137431325045422E-2</v>
      </c>
      <c r="AC70" s="8">
        <v>-1.3330124035305597E-2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16EB-A0F0-4915-8D8B-ADD4E7839A8D}">
  <dimension ref="A1:AC72"/>
  <sheetViews>
    <sheetView zoomScale="58" zoomScaleNormal="58" workbookViewId="0">
      <selection activeCell="M50" sqref="M50"/>
    </sheetView>
  </sheetViews>
  <sheetFormatPr defaultRowHeight="15" x14ac:dyDescent="0.25"/>
  <sheetData>
    <row r="1" spans="1:26" x14ac:dyDescent="0.25">
      <c r="A1" s="11" t="s">
        <v>127</v>
      </c>
      <c r="B1" s="11"/>
    </row>
    <row r="3" spans="1:26" x14ac:dyDescent="0.25">
      <c r="A3" s="11" t="s">
        <v>16</v>
      </c>
    </row>
    <row r="4" spans="1:26" x14ac:dyDescent="0.25">
      <c r="A4" s="12" t="s">
        <v>111</v>
      </c>
      <c r="K4" s="12" t="s">
        <v>112</v>
      </c>
      <c r="U4" s="12" t="s">
        <v>115</v>
      </c>
    </row>
    <row r="5" spans="1:26" ht="15.75" thickBot="1" x14ac:dyDescent="0.3"/>
    <row r="6" spans="1:26" x14ac:dyDescent="0.25">
      <c r="A6" s="10" t="s">
        <v>88</v>
      </c>
      <c r="B6" s="10"/>
      <c r="K6" s="10" t="s">
        <v>88</v>
      </c>
      <c r="L6" s="10"/>
      <c r="U6" s="10" t="s">
        <v>88</v>
      </c>
      <c r="V6" s="10"/>
    </row>
    <row r="7" spans="1:26" x14ac:dyDescent="0.25">
      <c r="A7" t="s">
        <v>89</v>
      </c>
      <c r="B7">
        <v>0.95762682230946228</v>
      </c>
      <c r="K7" t="s">
        <v>89</v>
      </c>
      <c r="L7">
        <v>0.96145061239948748</v>
      </c>
      <c r="U7" t="s">
        <v>89</v>
      </c>
      <c r="V7">
        <v>0.96638826978765258</v>
      </c>
    </row>
    <row r="8" spans="1:26" x14ac:dyDescent="0.25">
      <c r="A8" t="s">
        <v>90</v>
      </c>
      <c r="B8">
        <v>0.91704913080651851</v>
      </c>
      <c r="K8" t="s">
        <v>90</v>
      </c>
      <c r="L8">
        <v>0.92438728008334947</v>
      </c>
      <c r="U8" t="s">
        <v>90</v>
      </c>
      <c r="V8">
        <v>0.93390628798317277</v>
      </c>
    </row>
    <row r="9" spans="1:26" x14ac:dyDescent="0.25">
      <c r="A9" t="s">
        <v>91</v>
      </c>
      <c r="B9">
        <v>0.91626657543676859</v>
      </c>
      <c r="K9" t="s">
        <v>91</v>
      </c>
      <c r="L9">
        <v>0.92220614393190758</v>
      </c>
      <c r="U9" t="s">
        <v>91</v>
      </c>
      <c r="V9">
        <v>0.931339541885432</v>
      </c>
    </row>
    <row r="10" spans="1:26" x14ac:dyDescent="0.25">
      <c r="A10" t="s">
        <v>92</v>
      </c>
      <c r="B10">
        <v>1.2287874522159094E-2</v>
      </c>
      <c r="K10" t="s">
        <v>92</v>
      </c>
      <c r="L10">
        <v>1.1844043415247389E-2</v>
      </c>
      <c r="U10" t="s">
        <v>92</v>
      </c>
      <c r="V10">
        <v>1.112706665260782E-2</v>
      </c>
    </row>
    <row r="11" spans="1:26" ht="15.75" thickBot="1" x14ac:dyDescent="0.3">
      <c r="A11" s="8" t="s">
        <v>93</v>
      </c>
      <c r="B11" s="8">
        <v>108</v>
      </c>
      <c r="K11" s="8" t="s">
        <v>93</v>
      </c>
      <c r="L11" s="8">
        <v>108</v>
      </c>
      <c r="U11" s="8" t="s">
        <v>93</v>
      </c>
      <c r="V11" s="8">
        <v>108</v>
      </c>
    </row>
    <row r="13" spans="1:26" ht="15.75" thickBot="1" x14ac:dyDescent="0.3">
      <c r="A13" t="s">
        <v>94</v>
      </c>
      <c r="K13" t="s">
        <v>94</v>
      </c>
      <c r="U13" t="s">
        <v>94</v>
      </c>
    </row>
    <row r="14" spans="1:26" x14ac:dyDescent="0.25">
      <c r="A14" s="9"/>
      <c r="B14" s="9" t="s">
        <v>99</v>
      </c>
      <c r="C14" s="9" t="s">
        <v>100</v>
      </c>
      <c r="D14" s="9" t="s">
        <v>101</v>
      </c>
      <c r="E14" s="9" t="s">
        <v>102</v>
      </c>
      <c r="F14" s="9" t="s">
        <v>103</v>
      </c>
      <c r="K14" s="9"/>
      <c r="L14" s="9" t="s">
        <v>99</v>
      </c>
      <c r="M14" s="9" t="s">
        <v>100</v>
      </c>
      <c r="N14" s="9" t="s">
        <v>101</v>
      </c>
      <c r="O14" s="9" t="s">
        <v>102</v>
      </c>
      <c r="P14" s="9" t="s">
        <v>103</v>
      </c>
      <c r="U14" s="9"/>
      <c r="V14" s="9" t="s">
        <v>99</v>
      </c>
      <c r="W14" s="9" t="s">
        <v>100</v>
      </c>
      <c r="X14" s="9" t="s">
        <v>101</v>
      </c>
      <c r="Y14" s="9" t="s">
        <v>102</v>
      </c>
      <c r="Z14" s="9" t="s">
        <v>103</v>
      </c>
    </row>
    <row r="15" spans="1:26" x14ac:dyDescent="0.25">
      <c r="A15" t="s">
        <v>95</v>
      </c>
      <c r="B15">
        <v>1</v>
      </c>
      <c r="C15">
        <v>0.17694205365412402</v>
      </c>
      <c r="D15">
        <v>0.17694205365412402</v>
      </c>
      <c r="E15">
        <v>1171.8648497673587</v>
      </c>
      <c r="F15">
        <v>4.0198832968445654E-59</v>
      </c>
      <c r="K15" t="s">
        <v>95</v>
      </c>
      <c r="L15">
        <v>3</v>
      </c>
      <c r="M15">
        <v>0.17835792894307506</v>
      </c>
      <c r="N15">
        <v>5.9452642981025018E-2</v>
      </c>
      <c r="O15">
        <v>423.80998520990198</v>
      </c>
      <c r="P15">
        <v>3.8349809962673294E-58</v>
      </c>
      <c r="U15" t="s">
        <v>95</v>
      </c>
      <c r="V15">
        <v>4</v>
      </c>
      <c r="W15">
        <v>0.18019459477695821</v>
      </c>
      <c r="X15">
        <v>4.5048648694239551E-2</v>
      </c>
      <c r="Y15">
        <v>363.84833264386987</v>
      </c>
      <c r="Z15">
        <v>8.4975759330899784E-60</v>
      </c>
    </row>
    <row r="16" spans="1:26" x14ac:dyDescent="0.25">
      <c r="A16" t="s">
        <v>96</v>
      </c>
      <c r="B16">
        <v>106</v>
      </c>
      <c r="C16">
        <v>1.6005137188866619E-2</v>
      </c>
      <c r="D16">
        <v>1.5099186027232661E-4</v>
      </c>
      <c r="K16" t="s">
        <v>96</v>
      </c>
      <c r="L16">
        <v>104</v>
      </c>
      <c r="M16">
        <v>1.4589261899915565E-2</v>
      </c>
      <c r="N16">
        <v>1.4028136442226504E-4</v>
      </c>
      <c r="U16" t="s">
        <v>96</v>
      </c>
      <c r="V16">
        <v>103</v>
      </c>
      <c r="W16">
        <v>1.2752596066032429E-2</v>
      </c>
      <c r="X16">
        <v>1.2381161229157699E-4</v>
      </c>
    </row>
    <row r="17" spans="1:29" ht="15.75" thickBot="1" x14ac:dyDescent="0.3">
      <c r="A17" s="8" t="s">
        <v>97</v>
      </c>
      <c r="B17" s="8">
        <v>107</v>
      </c>
      <c r="C17" s="8">
        <v>0.19294719084299064</v>
      </c>
      <c r="D17" s="8"/>
      <c r="E17" s="8"/>
      <c r="F17" s="8"/>
      <c r="K17" s="8" t="s">
        <v>97</v>
      </c>
      <c r="L17" s="8">
        <v>107</v>
      </c>
      <c r="M17" s="8">
        <v>0.19294719084299061</v>
      </c>
      <c r="N17" s="8"/>
      <c r="O17" s="8"/>
      <c r="P17" s="8"/>
      <c r="U17" s="8" t="s">
        <v>97</v>
      </c>
      <c r="V17" s="8">
        <v>107</v>
      </c>
      <c r="W17" s="8">
        <v>0.19294719084299064</v>
      </c>
      <c r="X17" s="8"/>
      <c r="Y17" s="8"/>
      <c r="Z17" s="8"/>
    </row>
    <row r="18" spans="1:29" ht="15.75" thickBot="1" x14ac:dyDescent="0.3"/>
    <row r="19" spans="1:29" x14ac:dyDescent="0.25">
      <c r="A19" s="9"/>
      <c r="B19" s="9" t="s">
        <v>104</v>
      </c>
      <c r="C19" s="9" t="s">
        <v>92</v>
      </c>
      <c r="D19" s="9" t="s">
        <v>105</v>
      </c>
      <c r="E19" s="9" t="s">
        <v>106</v>
      </c>
      <c r="F19" s="9" t="s">
        <v>107</v>
      </c>
      <c r="G19" s="9" t="s">
        <v>108</v>
      </c>
      <c r="H19" s="9" t="s">
        <v>109</v>
      </c>
      <c r="I19" s="9" t="s">
        <v>110</v>
      </c>
      <c r="K19" s="9"/>
      <c r="L19" s="9" t="s">
        <v>104</v>
      </c>
      <c r="M19" s="9" t="s">
        <v>92</v>
      </c>
      <c r="N19" s="9" t="s">
        <v>105</v>
      </c>
      <c r="O19" s="9" t="s">
        <v>106</v>
      </c>
      <c r="P19" s="9" t="s">
        <v>107</v>
      </c>
      <c r="Q19" s="9" t="s">
        <v>108</v>
      </c>
      <c r="R19" s="9" t="s">
        <v>109</v>
      </c>
      <c r="S19" s="9" t="s">
        <v>110</v>
      </c>
      <c r="U19" s="9"/>
      <c r="V19" s="9" t="s">
        <v>104</v>
      </c>
      <c r="W19" s="9" t="s">
        <v>92</v>
      </c>
      <c r="X19" s="9" t="s">
        <v>105</v>
      </c>
      <c r="Y19" s="9" t="s">
        <v>106</v>
      </c>
      <c r="Z19" s="9" t="s">
        <v>107</v>
      </c>
      <c r="AA19" s="9" t="s">
        <v>108</v>
      </c>
      <c r="AB19" s="9" t="s">
        <v>109</v>
      </c>
      <c r="AC19" s="9" t="s">
        <v>110</v>
      </c>
    </row>
    <row r="20" spans="1:29" x14ac:dyDescent="0.25">
      <c r="A20" t="s">
        <v>98</v>
      </c>
      <c r="B20">
        <v>-7.277208289945946E-5</v>
      </c>
      <c r="C20">
        <v>1.185636461537748E-3</v>
      </c>
      <c r="D20">
        <v>-6.1378074359382848E-2</v>
      </c>
      <c r="E20">
        <v>0.9511736935574564</v>
      </c>
      <c r="F20">
        <v>-2.4234116849935344E-3</v>
      </c>
      <c r="G20">
        <v>2.2778675191946155E-3</v>
      </c>
      <c r="H20">
        <v>-2.4234116849935344E-3</v>
      </c>
      <c r="I20">
        <v>2.2778675191946155E-3</v>
      </c>
      <c r="K20" t="s">
        <v>98</v>
      </c>
      <c r="L20">
        <v>-1.0731295622352123E-3</v>
      </c>
      <c r="M20">
        <v>1.1873630045621719E-3</v>
      </c>
      <c r="N20">
        <v>-0.90379231802907478</v>
      </c>
      <c r="O20">
        <v>0.36819427839528707</v>
      </c>
      <c r="P20">
        <v>-3.4277149578404707E-3</v>
      </c>
      <c r="Q20">
        <v>1.2814558333700461E-3</v>
      </c>
      <c r="R20">
        <v>-3.4277149578404707E-3</v>
      </c>
      <c r="S20">
        <v>1.2814558333700461E-3</v>
      </c>
      <c r="U20" t="s">
        <v>98</v>
      </c>
      <c r="V20">
        <v>-1.7551392328403275E-3</v>
      </c>
      <c r="W20">
        <v>1.1294533710834796E-3</v>
      </c>
      <c r="X20">
        <v>-1.5539722823232891</v>
      </c>
      <c r="Y20">
        <v>0.12325841614948624</v>
      </c>
      <c r="Z20">
        <v>-3.9951436069037066E-3</v>
      </c>
      <c r="AA20">
        <v>4.848651412230516E-4</v>
      </c>
      <c r="AB20">
        <v>-3.9951436069037066E-3</v>
      </c>
      <c r="AC20">
        <v>4.848651412230516E-4</v>
      </c>
    </row>
    <row r="21" spans="1:29" ht="15.75" thickBot="1" x14ac:dyDescent="0.3">
      <c r="A21" s="8" t="s">
        <v>87</v>
      </c>
      <c r="B21" s="8">
        <v>0.88101928928162732</v>
      </c>
      <c r="C21" s="8">
        <v>2.573633216956335E-2</v>
      </c>
      <c r="D21" s="8">
        <v>34.232511590115017</v>
      </c>
      <c r="E21" s="8">
        <v>4.0198832968444513E-59</v>
      </c>
      <c r="F21" s="8">
        <v>0.82999450759436366</v>
      </c>
      <c r="G21" s="8">
        <v>0.93204407096889097</v>
      </c>
      <c r="H21" s="8">
        <v>0.82999450759436366</v>
      </c>
      <c r="I21" s="8">
        <v>0.93204407096889097</v>
      </c>
      <c r="K21" t="s">
        <v>87</v>
      </c>
      <c r="L21">
        <v>0.92148046192871902</v>
      </c>
      <c r="M21">
        <v>2.853415021384401E-2</v>
      </c>
      <c r="N21">
        <v>32.293951458965871</v>
      </c>
      <c r="O21">
        <v>5.0469838791241932E-56</v>
      </c>
      <c r="P21">
        <v>0.86489617126834262</v>
      </c>
      <c r="Q21">
        <v>0.97806475258909542</v>
      </c>
      <c r="R21">
        <v>0.86489617126834262</v>
      </c>
      <c r="S21">
        <v>0.97806475258909542</v>
      </c>
      <c r="U21" t="s">
        <v>87</v>
      </c>
      <c r="V21">
        <v>0.95800021949901804</v>
      </c>
      <c r="W21">
        <v>2.8434352292903656E-2</v>
      </c>
      <c r="X21">
        <v>33.691649088068225</v>
      </c>
      <c r="Y21">
        <v>1.979970948265238E-57</v>
      </c>
      <c r="Z21">
        <v>0.9016073881166452</v>
      </c>
      <c r="AA21">
        <v>1.014393050881391</v>
      </c>
      <c r="AB21">
        <v>0.9016073881166452</v>
      </c>
      <c r="AC21">
        <v>1.014393050881391</v>
      </c>
    </row>
    <row r="22" spans="1:29" x14ac:dyDescent="0.25">
      <c r="K22" t="s">
        <v>75</v>
      </c>
      <c r="L22">
        <v>4.2888859963404267E-2</v>
      </c>
      <c r="M22">
        <v>3.0229797243532721E-2</v>
      </c>
      <c r="N22">
        <v>1.4187610858878583</v>
      </c>
      <c r="O22">
        <v>0.15895861539351694</v>
      </c>
      <c r="P22">
        <v>-1.7057962388515514E-2</v>
      </c>
      <c r="Q22">
        <v>0.10283568231532406</v>
      </c>
      <c r="R22">
        <v>-1.7057962388515514E-2</v>
      </c>
      <c r="S22">
        <v>0.10283568231532406</v>
      </c>
      <c r="U22" t="s">
        <v>75</v>
      </c>
      <c r="V22">
        <v>1.6250756435669676E-2</v>
      </c>
      <c r="W22">
        <v>2.9229868035921446E-2</v>
      </c>
      <c r="X22">
        <v>0.55596407126089797</v>
      </c>
      <c r="Y22">
        <v>0.57944114187013862</v>
      </c>
      <c r="Z22">
        <v>-4.1719792796433175E-2</v>
      </c>
      <c r="AA22">
        <v>7.4221305667772533E-2</v>
      </c>
      <c r="AB22">
        <v>-4.1719792796433175E-2</v>
      </c>
      <c r="AC22">
        <v>7.4221305667772533E-2</v>
      </c>
    </row>
    <row r="23" spans="1:29" ht="15.75" thickBot="1" x14ac:dyDescent="0.3">
      <c r="K23" s="8" t="s">
        <v>76</v>
      </c>
      <c r="L23" s="8">
        <v>0.12828513797775853</v>
      </c>
      <c r="M23" s="8">
        <v>4.0382636916796361E-2</v>
      </c>
      <c r="N23" s="8">
        <v>3.1767399994724186</v>
      </c>
      <c r="O23" s="8">
        <v>1.960933059600331E-3</v>
      </c>
      <c r="P23" s="8">
        <v>4.820485355338415E-2</v>
      </c>
      <c r="Q23" s="8">
        <v>0.2083654224021329</v>
      </c>
      <c r="R23" s="8">
        <v>4.820485355338415E-2</v>
      </c>
      <c r="S23" s="8">
        <v>0.2083654224021329</v>
      </c>
      <c r="U23" t="s">
        <v>76</v>
      </c>
      <c r="V23">
        <v>0.14318813569278505</v>
      </c>
      <c r="W23">
        <v>3.813489261897373E-2</v>
      </c>
      <c r="X23">
        <v>3.7547800940061613</v>
      </c>
      <c r="Y23">
        <v>2.8750470434400164E-4</v>
      </c>
      <c r="Z23">
        <v>6.7556570496788357E-2</v>
      </c>
      <c r="AA23">
        <v>0.21881970088878172</v>
      </c>
      <c r="AB23">
        <v>6.7556570496788357E-2</v>
      </c>
      <c r="AC23">
        <v>0.21881970088878172</v>
      </c>
    </row>
    <row r="24" spans="1:29" ht="15.75" thickBot="1" x14ac:dyDescent="0.3">
      <c r="U24" s="8" t="s">
        <v>114</v>
      </c>
      <c r="V24" s="8">
        <v>7.5273826934790594E-2</v>
      </c>
      <c r="W24" s="8">
        <v>1.9543827111792887E-2</v>
      </c>
      <c r="X24" s="8">
        <v>3.8515397472673008</v>
      </c>
      <c r="Y24" s="8">
        <v>2.0416193155294962E-4</v>
      </c>
      <c r="Z24" s="8">
        <v>3.6513255372320301E-2</v>
      </c>
      <c r="AA24" s="8">
        <v>0.11403439849726088</v>
      </c>
      <c r="AB24" s="8">
        <v>3.6513255372320301E-2</v>
      </c>
      <c r="AC24" s="8">
        <v>0.11403439849726088</v>
      </c>
    </row>
    <row r="25" spans="1:29" ht="15.75" thickBot="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row>
    <row r="27" spans="1:29" x14ac:dyDescent="0.25">
      <c r="A27" s="11" t="s">
        <v>124</v>
      </c>
    </row>
    <row r="28" spans="1:29" x14ac:dyDescent="0.25">
      <c r="A28" s="12" t="s">
        <v>111</v>
      </c>
      <c r="K28" s="12" t="s">
        <v>112</v>
      </c>
      <c r="U28" t="s">
        <v>115</v>
      </c>
    </row>
    <row r="29" spans="1:29" ht="15.75" thickBot="1" x14ac:dyDescent="0.3"/>
    <row r="30" spans="1:29" x14ac:dyDescent="0.25">
      <c r="A30" s="10" t="s">
        <v>88</v>
      </c>
      <c r="B30" s="10"/>
      <c r="K30" s="10" t="s">
        <v>88</v>
      </c>
      <c r="L30" s="10"/>
      <c r="U30" s="10" t="s">
        <v>88</v>
      </c>
      <c r="V30" s="10"/>
    </row>
    <row r="31" spans="1:29" x14ac:dyDescent="0.25">
      <c r="A31" t="s">
        <v>89</v>
      </c>
      <c r="B31">
        <v>0.92213926927317158</v>
      </c>
      <c r="K31" t="s">
        <v>89</v>
      </c>
      <c r="L31">
        <v>0.9371973924375907</v>
      </c>
      <c r="U31" t="s">
        <v>89</v>
      </c>
      <c r="V31">
        <v>0.96951102093406205</v>
      </c>
    </row>
    <row r="32" spans="1:29" x14ac:dyDescent="0.25">
      <c r="A32" t="s">
        <v>90</v>
      </c>
      <c r="B32">
        <v>0.85034083193565879</v>
      </c>
      <c r="K32" t="s">
        <v>90</v>
      </c>
      <c r="L32">
        <v>0.87833895239181936</v>
      </c>
      <c r="U32" t="s">
        <v>90</v>
      </c>
      <c r="V32">
        <v>0.93995161971260721</v>
      </c>
    </row>
    <row r="33" spans="1:29" x14ac:dyDescent="0.25">
      <c r="A33" t="s">
        <v>91</v>
      </c>
      <c r="B33">
        <v>0.84892895299165561</v>
      </c>
      <c r="K33" t="s">
        <v>91</v>
      </c>
      <c r="L33">
        <v>0.87482949909542951</v>
      </c>
      <c r="U33" t="s">
        <v>91</v>
      </c>
      <c r="V33">
        <v>0.93761964377911622</v>
      </c>
    </row>
    <row r="34" spans="1:29" x14ac:dyDescent="0.25">
      <c r="A34" t="s">
        <v>92</v>
      </c>
      <c r="B34">
        <v>2.3051287706335861E-2</v>
      </c>
      <c r="K34" t="s">
        <v>92</v>
      </c>
      <c r="L34">
        <v>2.0982419557038976E-2</v>
      </c>
      <c r="U34" t="s">
        <v>92</v>
      </c>
      <c r="V34">
        <v>1.4812504555257889E-2</v>
      </c>
    </row>
    <row r="35" spans="1:29" ht="15.75" thickBot="1" x14ac:dyDescent="0.3">
      <c r="A35" s="8" t="s">
        <v>93</v>
      </c>
      <c r="B35" s="8">
        <v>108</v>
      </c>
      <c r="K35" s="8" t="s">
        <v>93</v>
      </c>
      <c r="L35" s="8">
        <v>108</v>
      </c>
      <c r="U35" s="8" t="s">
        <v>93</v>
      </c>
      <c r="V35" s="8">
        <v>108</v>
      </c>
    </row>
    <row r="37" spans="1:29" ht="15.75" thickBot="1" x14ac:dyDescent="0.3">
      <c r="A37" t="s">
        <v>94</v>
      </c>
      <c r="K37" t="s">
        <v>94</v>
      </c>
      <c r="U37" t="s">
        <v>94</v>
      </c>
    </row>
    <row r="38" spans="1:29" x14ac:dyDescent="0.25">
      <c r="A38" s="9"/>
      <c r="B38" s="9" t="s">
        <v>99</v>
      </c>
      <c r="C38" s="9" t="s">
        <v>100</v>
      </c>
      <c r="D38" s="9" t="s">
        <v>101</v>
      </c>
      <c r="E38" s="9" t="s">
        <v>102</v>
      </c>
      <c r="F38" s="9" t="s">
        <v>103</v>
      </c>
      <c r="K38" s="9"/>
      <c r="L38" s="9" t="s">
        <v>99</v>
      </c>
      <c r="M38" s="9" t="s">
        <v>100</v>
      </c>
      <c r="N38" s="9" t="s">
        <v>101</v>
      </c>
      <c r="O38" s="9" t="s">
        <v>102</v>
      </c>
      <c r="P38" s="9" t="s">
        <v>103</v>
      </c>
      <c r="U38" s="9"/>
      <c r="V38" s="9" t="s">
        <v>99</v>
      </c>
      <c r="W38" s="9" t="s">
        <v>100</v>
      </c>
      <c r="X38" s="9" t="s">
        <v>101</v>
      </c>
      <c r="Y38" s="9" t="s">
        <v>102</v>
      </c>
      <c r="Z38" s="9" t="s">
        <v>103</v>
      </c>
    </row>
    <row r="39" spans="1:29" x14ac:dyDescent="0.25">
      <c r="A39" t="s">
        <v>95</v>
      </c>
      <c r="B39">
        <v>1</v>
      </c>
      <c r="C39">
        <v>0.3200265094924144</v>
      </c>
      <c r="D39">
        <v>0.3200265094924144</v>
      </c>
      <c r="E39">
        <v>602.27602058050093</v>
      </c>
      <c r="F39">
        <v>1.5967529489070706E-45</v>
      </c>
      <c r="K39" t="s">
        <v>95</v>
      </c>
      <c r="L39">
        <v>3</v>
      </c>
      <c r="M39">
        <v>0.33056362640533149</v>
      </c>
      <c r="N39">
        <v>0.11018787546844383</v>
      </c>
      <c r="O39">
        <v>250.27800007920493</v>
      </c>
      <c r="P39">
        <v>2.0599036302784604E-47</v>
      </c>
      <c r="U39" t="s">
        <v>95</v>
      </c>
      <c r="V39">
        <v>4</v>
      </c>
      <c r="W39">
        <v>0.35375160718041093</v>
      </c>
      <c r="X39">
        <v>8.8437901795102733E-2</v>
      </c>
      <c r="Y39">
        <v>403.07089203339007</v>
      </c>
      <c r="Z39">
        <v>6.1180042323714275E-62</v>
      </c>
    </row>
    <row r="40" spans="1:29" x14ac:dyDescent="0.25">
      <c r="A40" t="s">
        <v>96</v>
      </c>
      <c r="B40">
        <v>106</v>
      </c>
      <c r="C40">
        <v>5.6324357681548712E-2</v>
      </c>
      <c r="D40">
        <v>5.3136186492027087E-4</v>
      </c>
      <c r="K40" t="s">
        <v>96</v>
      </c>
      <c r="L40">
        <v>104</v>
      </c>
      <c r="M40">
        <v>4.578724076863161E-2</v>
      </c>
      <c r="N40">
        <v>4.4026193046761166E-4</v>
      </c>
      <c r="U40" t="s">
        <v>96</v>
      </c>
      <c r="V40">
        <v>103</v>
      </c>
      <c r="W40">
        <v>2.2599259993552178E-2</v>
      </c>
      <c r="X40">
        <v>2.1941029119953572E-4</v>
      </c>
    </row>
    <row r="41" spans="1:29" ht="15.75" thickBot="1" x14ac:dyDescent="0.3">
      <c r="A41" s="8" t="s">
        <v>97</v>
      </c>
      <c r="B41" s="8">
        <v>107</v>
      </c>
      <c r="C41" s="8">
        <v>0.3763508671739631</v>
      </c>
      <c r="D41" s="8"/>
      <c r="E41" s="8"/>
      <c r="F41" s="8"/>
      <c r="K41" s="8" t="s">
        <v>97</v>
      </c>
      <c r="L41" s="8">
        <v>107</v>
      </c>
      <c r="M41" s="8">
        <v>0.3763508671739631</v>
      </c>
      <c r="N41" s="8"/>
      <c r="O41" s="8"/>
      <c r="P41" s="8"/>
      <c r="U41" s="8" t="s">
        <v>97</v>
      </c>
      <c r="V41" s="8">
        <v>107</v>
      </c>
      <c r="W41" s="8">
        <v>0.3763508671739631</v>
      </c>
      <c r="X41" s="8"/>
      <c r="Y41" s="8"/>
      <c r="Z41" s="8"/>
    </row>
    <row r="42" spans="1:29" ht="15.75" thickBot="1" x14ac:dyDescent="0.3"/>
    <row r="43" spans="1:29" x14ac:dyDescent="0.25">
      <c r="A43" s="9"/>
      <c r="B43" s="9" t="s">
        <v>104</v>
      </c>
      <c r="C43" s="9" t="s">
        <v>92</v>
      </c>
      <c r="D43" s="9" t="s">
        <v>105</v>
      </c>
      <c r="E43" s="9" t="s">
        <v>106</v>
      </c>
      <c r="F43" s="9" t="s">
        <v>107</v>
      </c>
      <c r="G43" s="9" t="s">
        <v>108</v>
      </c>
      <c r="H43" s="9" t="s">
        <v>109</v>
      </c>
      <c r="I43" s="9" t="s">
        <v>110</v>
      </c>
      <c r="K43" s="9"/>
      <c r="L43" s="9" t="s">
        <v>104</v>
      </c>
      <c r="M43" s="9" t="s">
        <v>92</v>
      </c>
      <c r="N43" s="9" t="s">
        <v>105</v>
      </c>
      <c r="O43" s="9" t="s">
        <v>106</v>
      </c>
      <c r="P43" s="9" t="s">
        <v>107</v>
      </c>
      <c r="Q43" s="9" t="s">
        <v>108</v>
      </c>
      <c r="R43" s="9" t="s">
        <v>109</v>
      </c>
      <c r="S43" s="9" t="s">
        <v>110</v>
      </c>
      <c r="U43" s="9"/>
      <c r="V43" s="9" t="s">
        <v>104</v>
      </c>
      <c r="W43" s="9" t="s">
        <v>92</v>
      </c>
      <c r="X43" s="9" t="s">
        <v>105</v>
      </c>
      <c r="Y43" s="9" t="s">
        <v>106</v>
      </c>
      <c r="Z43" s="9" t="s">
        <v>107</v>
      </c>
      <c r="AA43" s="9" t="s">
        <v>108</v>
      </c>
      <c r="AB43" s="9" t="s">
        <v>109</v>
      </c>
      <c r="AC43" s="9" t="s">
        <v>110</v>
      </c>
    </row>
    <row r="44" spans="1:29" x14ac:dyDescent="0.25">
      <c r="A44" t="s">
        <v>98</v>
      </c>
      <c r="B44">
        <v>-2.5006008678753857E-3</v>
      </c>
      <c r="C44">
        <v>2.2241801981899164E-3</v>
      </c>
      <c r="D44">
        <v>-1.1242797997709115</v>
      </c>
      <c r="E44">
        <v>0.26343390913667142</v>
      </c>
      <c r="F44">
        <v>-6.9102544384797597E-3</v>
      </c>
      <c r="G44">
        <v>1.9090527027289883E-3</v>
      </c>
      <c r="H44">
        <v>-6.9102544384797597E-3</v>
      </c>
      <c r="I44">
        <v>1.9090527027289883E-3</v>
      </c>
      <c r="K44" t="s">
        <v>98</v>
      </c>
      <c r="L44">
        <v>-3.9215936860444059E-4</v>
      </c>
      <c r="M44">
        <v>2.1034834012983467E-3</v>
      </c>
      <c r="N44">
        <v>-0.18643330789412718</v>
      </c>
      <c r="O44">
        <v>0.85246815257903896</v>
      </c>
      <c r="P44">
        <v>-4.5634458897146962E-3</v>
      </c>
      <c r="Q44">
        <v>3.7791271525058146E-3</v>
      </c>
      <c r="R44">
        <v>-4.5634458897146962E-3</v>
      </c>
      <c r="S44">
        <v>3.7791271525058146E-3</v>
      </c>
      <c r="U44" t="s">
        <v>98</v>
      </c>
      <c r="V44">
        <v>-2.8154579329580875E-3</v>
      </c>
      <c r="W44">
        <v>1.5035439012315477E-3</v>
      </c>
      <c r="X44">
        <v>-1.8725478721651927</v>
      </c>
      <c r="Y44">
        <v>6.3967046852738171E-2</v>
      </c>
      <c r="Z44">
        <v>-5.7973826423634248E-3</v>
      </c>
      <c r="AA44">
        <v>1.6646677644725034E-4</v>
      </c>
      <c r="AB44">
        <v>-5.7973826423634248E-3</v>
      </c>
      <c r="AC44">
        <v>1.6646677644725034E-4</v>
      </c>
    </row>
    <row r="45" spans="1:29" ht="15.75" thickBot="1" x14ac:dyDescent="0.3">
      <c r="A45" s="8" t="s">
        <v>87</v>
      </c>
      <c r="B45" s="8">
        <v>1.1848486080330565</v>
      </c>
      <c r="C45" s="8">
        <v>4.8279757111500135E-2</v>
      </c>
      <c r="D45" s="8">
        <v>24.541312527664477</v>
      </c>
      <c r="E45" s="8">
        <v>1.5967529489070252E-45</v>
      </c>
      <c r="F45" s="8">
        <v>1.0891292937850929</v>
      </c>
      <c r="G45" s="8">
        <v>1.28056792228102</v>
      </c>
      <c r="H45" s="8">
        <v>1.0891292937850929</v>
      </c>
      <c r="I45" s="8">
        <v>1.28056792228102</v>
      </c>
      <c r="K45" t="s">
        <v>87</v>
      </c>
      <c r="L45">
        <v>1.0628470128757956</v>
      </c>
      <c r="M45">
        <v>5.0549925435066707E-2</v>
      </c>
      <c r="N45">
        <v>21.02568903372692</v>
      </c>
      <c r="O45">
        <v>3.0600083737095756E-39</v>
      </c>
      <c r="P45">
        <v>0.96260461377710405</v>
      </c>
      <c r="Q45">
        <v>1.1630894119744872</v>
      </c>
      <c r="R45">
        <v>0.96260461377710405</v>
      </c>
      <c r="S45">
        <v>1.1630894119744872</v>
      </c>
      <c r="U45" t="s">
        <v>87</v>
      </c>
      <c r="V45">
        <v>1.1926080410619895</v>
      </c>
      <c r="W45">
        <v>3.7852201843846356E-2</v>
      </c>
      <c r="X45">
        <v>31.506966120013757</v>
      </c>
      <c r="Y45">
        <v>1.0781993461924882E-54</v>
      </c>
      <c r="Z45">
        <v>1.1175371263443612</v>
      </c>
      <c r="AA45">
        <v>1.2676789557796178</v>
      </c>
      <c r="AB45">
        <v>1.1175371263443612</v>
      </c>
      <c r="AC45">
        <v>1.2676789557796178</v>
      </c>
    </row>
    <row r="46" spans="1:29" x14ac:dyDescent="0.25">
      <c r="K46" t="s">
        <v>75</v>
      </c>
      <c r="L46">
        <v>1.0099337977038462E-2</v>
      </c>
      <c r="M46">
        <v>5.3553863883297421E-2</v>
      </c>
      <c r="N46">
        <v>0.18858280700430061</v>
      </c>
      <c r="O46">
        <v>0.85078731231985438</v>
      </c>
      <c r="P46">
        <v>-9.6099983791741977E-2</v>
      </c>
      <c r="Q46">
        <v>0.11629865974581891</v>
      </c>
      <c r="R46">
        <v>-9.6099983791741977E-2</v>
      </c>
      <c r="S46">
        <v>0.11629865974581891</v>
      </c>
      <c r="U46" t="s">
        <v>75</v>
      </c>
      <c r="V46">
        <v>-8.4550460725360363E-2</v>
      </c>
      <c r="W46">
        <v>3.8911203370045416E-2</v>
      </c>
      <c r="X46">
        <v>-2.1729078877691279</v>
      </c>
      <c r="Y46">
        <v>3.2079625742787367E-2</v>
      </c>
      <c r="Z46">
        <v>-0.16172165519915968</v>
      </c>
      <c r="AA46">
        <v>-7.3792662515610452E-3</v>
      </c>
      <c r="AB46">
        <v>-0.16172165519915968</v>
      </c>
      <c r="AC46">
        <v>-7.3792662515610452E-3</v>
      </c>
    </row>
    <row r="47" spans="1:29" ht="15.75" thickBot="1" x14ac:dyDescent="0.3">
      <c r="K47" s="8" t="s">
        <v>76</v>
      </c>
      <c r="L47" s="8">
        <v>-0.30887736133819799</v>
      </c>
      <c r="M47" s="8">
        <v>7.1540216537621826E-2</v>
      </c>
      <c r="N47" s="8">
        <v>-4.3175346160123018</v>
      </c>
      <c r="O47" s="8">
        <v>3.6112112517183317E-5</v>
      </c>
      <c r="P47" s="8">
        <v>-0.45074429538507399</v>
      </c>
      <c r="Q47" s="8">
        <v>-0.16701042729132201</v>
      </c>
      <c r="R47" s="8">
        <v>-0.45074429538507399</v>
      </c>
      <c r="S47" s="8">
        <v>-0.16701042729132201</v>
      </c>
      <c r="U47" t="s">
        <v>76</v>
      </c>
      <c r="V47">
        <v>-0.25592442749585675</v>
      </c>
      <c r="W47">
        <v>5.0765694883334871E-2</v>
      </c>
      <c r="X47">
        <v>-5.0412867997571809</v>
      </c>
      <c r="Y47">
        <v>1.9874664664848977E-6</v>
      </c>
      <c r="Z47">
        <v>-0.35660620994248432</v>
      </c>
      <c r="AA47">
        <v>-0.15524264504922919</v>
      </c>
      <c r="AB47">
        <v>-0.35660620994248432</v>
      </c>
      <c r="AC47">
        <v>-0.15524264504922919</v>
      </c>
    </row>
    <row r="48" spans="1:29" x14ac:dyDescent="0.25">
      <c r="U48" t="s">
        <v>114</v>
      </c>
      <c r="V48">
        <v>0.2674609534240755</v>
      </c>
      <c r="W48">
        <v>2.6017012134348733E-2</v>
      </c>
      <c r="X48">
        <v>10.280233258259603</v>
      </c>
      <c r="Y48">
        <v>1.7610697611393331E-17</v>
      </c>
      <c r="Z48">
        <v>0.21586234610388561</v>
      </c>
      <c r="AA48">
        <v>0.31905956074426539</v>
      </c>
      <c r="AB48">
        <v>0.21586234610388561</v>
      </c>
      <c r="AC48">
        <v>0.31905956074426539</v>
      </c>
    </row>
    <row r="49" spans="1:29"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row>
    <row r="51" spans="1:29" x14ac:dyDescent="0.25">
      <c r="A51" s="11" t="s">
        <v>62</v>
      </c>
    </row>
    <row r="52" spans="1:29" x14ac:dyDescent="0.25">
      <c r="A52" s="12" t="s">
        <v>111</v>
      </c>
      <c r="K52" s="12" t="s">
        <v>112</v>
      </c>
      <c r="U52" t="s">
        <v>115</v>
      </c>
    </row>
    <row r="53" spans="1:29" ht="15.75" thickBot="1" x14ac:dyDescent="0.3"/>
    <row r="54" spans="1:29" x14ac:dyDescent="0.25">
      <c r="A54" s="10" t="s">
        <v>88</v>
      </c>
      <c r="B54" s="10"/>
      <c r="K54" s="10" t="s">
        <v>88</v>
      </c>
      <c r="L54" s="10"/>
      <c r="U54" s="10" t="s">
        <v>88</v>
      </c>
      <c r="V54" s="10"/>
    </row>
    <row r="55" spans="1:29" x14ac:dyDescent="0.25">
      <c r="A55" t="s">
        <v>89</v>
      </c>
      <c r="B55">
        <v>0.97735539420507422</v>
      </c>
      <c r="K55" t="s">
        <v>89</v>
      </c>
      <c r="L55">
        <v>0.99464935237844376</v>
      </c>
      <c r="U55" t="s">
        <v>89</v>
      </c>
      <c r="V55">
        <v>0.99588670730873263</v>
      </c>
    </row>
    <row r="56" spans="1:29" x14ac:dyDescent="0.25">
      <c r="A56" t="s">
        <v>90</v>
      </c>
      <c r="B56">
        <v>0.95522356658175611</v>
      </c>
      <c r="K56" t="s">
        <v>90</v>
      </c>
      <c r="L56">
        <v>0.9893273341868577</v>
      </c>
      <c r="U56" t="s">
        <v>90</v>
      </c>
      <c r="V56">
        <v>0.99179033379422932</v>
      </c>
    </row>
    <row r="57" spans="1:29" x14ac:dyDescent="0.25">
      <c r="A57" t="s">
        <v>91</v>
      </c>
      <c r="B57">
        <v>0.95480114739856514</v>
      </c>
      <c r="K57" t="s">
        <v>91</v>
      </c>
      <c r="L57">
        <v>0.9890194688268632</v>
      </c>
      <c r="U57" t="s">
        <v>91</v>
      </c>
      <c r="V57">
        <v>0.99147151180565574</v>
      </c>
    </row>
    <row r="58" spans="1:29" x14ac:dyDescent="0.25">
      <c r="A58" t="s">
        <v>92</v>
      </c>
      <c r="B58">
        <v>9.279199273673459E-3</v>
      </c>
      <c r="K58" t="s">
        <v>92</v>
      </c>
      <c r="L58">
        <v>4.5736030726137421E-3</v>
      </c>
      <c r="U58" t="s">
        <v>92</v>
      </c>
      <c r="V58">
        <v>4.0307217855435782E-3</v>
      </c>
    </row>
    <row r="59" spans="1:29" ht="15.75" thickBot="1" x14ac:dyDescent="0.3">
      <c r="A59" s="8" t="s">
        <v>93</v>
      </c>
      <c r="B59" s="8">
        <v>108</v>
      </c>
      <c r="K59" s="8" t="s">
        <v>93</v>
      </c>
      <c r="L59" s="8">
        <v>108</v>
      </c>
      <c r="U59" s="8" t="s">
        <v>93</v>
      </c>
      <c r="V59" s="8">
        <v>108</v>
      </c>
    </row>
    <row r="61" spans="1:29" ht="15.75" thickBot="1" x14ac:dyDescent="0.3">
      <c r="A61" t="s">
        <v>94</v>
      </c>
      <c r="K61" t="s">
        <v>94</v>
      </c>
      <c r="U61" t="s">
        <v>94</v>
      </c>
    </row>
    <row r="62" spans="1:29" x14ac:dyDescent="0.25">
      <c r="A62" s="9"/>
      <c r="B62" s="9" t="s">
        <v>99</v>
      </c>
      <c r="C62" s="9" t="s">
        <v>100</v>
      </c>
      <c r="D62" s="9" t="s">
        <v>101</v>
      </c>
      <c r="E62" s="9" t="s">
        <v>102</v>
      </c>
      <c r="F62" s="9" t="s">
        <v>103</v>
      </c>
      <c r="K62" s="9"/>
      <c r="L62" s="9" t="s">
        <v>99</v>
      </c>
      <c r="M62" s="9" t="s">
        <v>100</v>
      </c>
      <c r="N62" s="9" t="s">
        <v>101</v>
      </c>
      <c r="O62" s="9" t="s">
        <v>102</v>
      </c>
      <c r="P62" s="9" t="s">
        <v>103</v>
      </c>
      <c r="U62" s="9"/>
      <c r="V62" s="9" t="s">
        <v>99</v>
      </c>
      <c r="W62" s="9" t="s">
        <v>100</v>
      </c>
      <c r="X62" s="9" t="s">
        <v>101</v>
      </c>
      <c r="Y62" s="9" t="s">
        <v>102</v>
      </c>
      <c r="Z62" s="9" t="s">
        <v>103</v>
      </c>
    </row>
    <row r="63" spans="1:29" x14ac:dyDescent="0.25">
      <c r="A63" t="s">
        <v>95</v>
      </c>
      <c r="B63">
        <v>1</v>
      </c>
      <c r="C63">
        <v>0.19470737372989921</v>
      </c>
      <c r="D63">
        <v>0.19470737372989921</v>
      </c>
      <c r="E63">
        <v>2261.3167313234685</v>
      </c>
      <c r="F63">
        <v>2.5330597369374495E-73</v>
      </c>
      <c r="K63" t="s">
        <v>95</v>
      </c>
      <c r="L63">
        <v>3</v>
      </c>
      <c r="M63">
        <v>0.20165889299407119</v>
      </c>
      <c r="N63">
        <v>6.7219630998023736E-2</v>
      </c>
      <c r="O63">
        <v>3213.5064958414573</v>
      </c>
      <c r="P63">
        <v>2.4069900203017696E-102</v>
      </c>
      <c r="U63" t="s">
        <v>95</v>
      </c>
      <c r="V63">
        <v>4</v>
      </c>
      <c r="W63">
        <v>0.20216093691533374</v>
      </c>
      <c r="X63">
        <v>5.0540234228833435E-2</v>
      </c>
      <c r="Y63">
        <v>3110.7965238891275</v>
      </c>
      <c r="Z63">
        <v>2.0156302861495723E-106</v>
      </c>
    </row>
    <row r="64" spans="1:29" x14ac:dyDescent="0.25">
      <c r="A64" t="s">
        <v>96</v>
      </c>
      <c r="B64">
        <v>106</v>
      </c>
      <c r="C64">
        <v>9.1269751510174562E-3</v>
      </c>
      <c r="D64">
        <v>8.6103539160542044E-5</v>
      </c>
      <c r="K64" t="s">
        <v>96</v>
      </c>
      <c r="L64">
        <v>104</v>
      </c>
      <c r="M64">
        <v>2.175455886845474E-3</v>
      </c>
      <c r="N64">
        <v>2.0917845065821864E-5</v>
      </c>
      <c r="U64" t="s">
        <v>96</v>
      </c>
      <c r="V64">
        <v>103</v>
      </c>
      <c r="W64">
        <v>1.6734119655829275E-3</v>
      </c>
      <c r="X64">
        <v>1.6246718112455608E-5</v>
      </c>
    </row>
    <row r="65" spans="1:29" ht="15.75" thickBot="1" x14ac:dyDescent="0.3">
      <c r="A65" s="8" t="s">
        <v>97</v>
      </c>
      <c r="B65" s="8">
        <v>107</v>
      </c>
      <c r="C65" s="8">
        <v>0.20383434888091667</v>
      </c>
      <c r="D65" s="8"/>
      <c r="E65" s="8"/>
      <c r="F65" s="8"/>
      <c r="K65" s="8" t="s">
        <v>97</v>
      </c>
      <c r="L65" s="8">
        <v>107</v>
      </c>
      <c r="M65" s="8">
        <v>0.20383434888091667</v>
      </c>
      <c r="N65" s="8"/>
      <c r="O65" s="8"/>
      <c r="P65" s="8"/>
      <c r="U65" s="8" t="s">
        <v>97</v>
      </c>
      <c r="V65" s="8">
        <v>107</v>
      </c>
      <c r="W65" s="8">
        <v>0.20383434888091667</v>
      </c>
      <c r="X65" s="8"/>
      <c r="Y65" s="8"/>
      <c r="Z65" s="8"/>
    </row>
    <row r="66" spans="1:29" ht="15.75" thickBot="1" x14ac:dyDescent="0.3"/>
    <row r="67" spans="1:29" x14ac:dyDescent="0.25">
      <c r="A67" s="9"/>
      <c r="B67" s="9" t="s">
        <v>104</v>
      </c>
      <c r="C67" s="9" t="s">
        <v>92</v>
      </c>
      <c r="D67" s="9" t="s">
        <v>105</v>
      </c>
      <c r="E67" s="9" t="s">
        <v>106</v>
      </c>
      <c r="F67" s="9" t="s">
        <v>107</v>
      </c>
      <c r="G67" s="9" t="s">
        <v>108</v>
      </c>
      <c r="H67" s="9" t="s">
        <v>109</v>
      </c>
      <c r="I67" s="9" t="s">
        <v>110</v>
      </c>
      <c r="K67" s="9"/>
      <c r="L67" s="9" t="s">
        <v>104</v>
      </c>
      <c r="M67" s="9" t="s">
        <v>92</v>
      </c>
      <c r="N67" s="9" t="s">
        <v>105</v>
      </c>
      <c r="O67" s="9" t="s">
        <v>106</v>
      </c>
      <c r="P67" s="9" t="s">
        <v>107</v>
      </c>
      <c r="Q67" s="9" t="s">
        <v>108</v>
      </c>
      <c r="R67" s="9" t="s">
        <v>109</v>
      </c>
      <c r="S67" s="9" t="s">
        <v>110</v>
      </c>
      <c r="U67" s="9"/>
      <c r="V67" s="9" t="s">
        <v>104</v>
      </c>
      <c r="W67" s="9" t="s">
        <v>92</v>
      </c>
      <c r="X67" s="9" t="s">
        <v>105</v>
      </c>
      <c r="Y67" s="9" t="s">
        <v>106</v>
      </c>
      <c r="Z67" s="9" t="s">
        <v>107</v>
      </c>
      <c r="AA67" s="9" t="s">
        <v>108</v>
      </c>
      <c r="AB67" s="9" t="s">
        <v>109</v>
      </c>
      <c r="AC67" s="9" t="s">
        <v>110</v>
      </c>
    </row>
    <row r="68" spans="1:29" x14ac:dyDescent="0.25">
      <c r="A68" t="s">
        <v>98</v>
      </c>
      <c r="B68">
        <v>-1.6962820475993146E-4</v>
      </c>
      <c r="C68">
        <v>8.9533441873141208E-4</v>
      </c>
      <c r="D68">
        <v>-0.18945792902754202</v>
      </c>
      <c r="E68">
        <v>0.85009623246391985</v>
      </c>
      <c r="F68">
        <v>-1.944715771701234E-3</v>
      </c>
      <c r="G68">
        <v>1.6054593621813711E-3</v>
      </c>
      <c r="H68">
        <v>-1.944715771701234E-3</v>
      </c>
      <c r="I68">
        <v>1.6054593621813711E-3</v>
      </c>
      <c r="K68" t="s">
        <v>98</v>
      </c>
      <c r="L68">
        <v>2.4362682122566163E-5</v>
      </c>
      <c r="M68">
        <v>4.5850280141513695E-4</v>
      </c>
      <c r="N68">
        <v>5.3135296114598302E-2</v>
      </c>
      <c r="O68">
        <v>0.95772604119026683</v>
      </c>
      <c r="P68">
        <v>-8.8486557908156751E-4</v>
      </c>
      <c r="Q68">
        <v>9.3359094332669994E-4</v>
      </c>
      <c r="R68">
        <v>-8.8486557908156751E-4</v>
      </c>
      <c r="S68">
        <v>9.3359094332669994E-4</v>
      </c>
      <c r="U68" t="s">
        <v>98</v>
      </c>
      <c r="V68">
        <v>3.8093392572714139E-4</v>
      </c>
      <c r="W68">
        <v>4.091385852815806E-4</v>
      </c>
      <c r="X68">
        <v>0.93106331065052694</v>
      </c>
      <c r="Y68">
        <v>0.35399798984518427</v>
      </c>
      <c r="Z68">
        <v>-4.3049596070515608E-4</v>
      </c>
      <c r="AA68">
        <v>1.1923638121594388E-3</v>
      </c>
      <c r="AB68">
        <v>-4.3049596070515608E-4</v>
      </c>
      <c r="AC68">
        <v>1.1923638121594388E-3</v>
      </c>
    </row>
    <row r="69" spans="1:29" ht="15.75" thickBot="1" x14ac:dyDescent="0.3">
      <c r="A69" s="8" t="s">
        <v>87</v>
      </c>
      <c r="B69" s="8">
        <v>0.92418961642818576</v>
      </c>
      <c r="C69" s="8">
        <v>1.9434813917099596E-2</v>
      </c>
      <c r="D69" s="8">
        <v>47.553304105219318</v>
      </c>
      <c r="E69" s="8">
        <v>2.5330597369374495E-73</v>
      </c>
      <c r="F69" s="8">
        <v>0.88565820757322211</v>
      </c>
      <c r="G69" s="8">
        <v>0.9627210252831494</v>
      </c>
      <c r="H69" s="8">
        <v>0.88565820757322211</v>
      </c>
      <c r="I69" s="8">
        <v>0.9627210252831494</v>
      </c>
      <c r="K69" t="s">
        <v>87</v>
      </c>
      <c r="L69">
        <v>0.97788026001347117</v>
      </c>
      <c r="M69">
        <v>1.1018524039219183E-2</v>
      </c>
      <c r="N69">
        <v>88.748752240573921</v>
      </c>
      <c r="O69">
        <v>7.5126306350494698E-100</v>
      </c>
      <c r="P69">
        <v>0.95603011335723642</v>
      </c>
      <c r="Q69">
        <v>0.99973040666970592</v>
      </c>
      <c r="R69">
        <v>0.95603011335723642</v>
      </c>
      <c r="S69">
        <v>0.99973040666970592</v>
      </c>
      <c r="U69" t="s">
        <v>87</v>
      </c>
      <c r="V69">
        <v>0.95878684252362067</v>
      </c>
      <c r="W69">
        <v>1.0300195624151015E-2</v>
      </c>
      <c r="X69">
        <v>93.084333299023911</v>
      </c>
      <c r="Y69">
        <v>3.1586852017672143E-101</v>
      </c>
      <c r="Z69">
        <v>0.93835883385808949</v>
      </c>
      <c r="AA69">
        <v>0.97921485118915186</v>
      </c>
      <c r="AB69">
        <v>0.93835883385808949</v>
      </c>
      <c r="AC69">
        <v>0.97921485118915186</v>
      </c>
    </row>
    <row r="70" spans="1:29" x14ac:dyDescent="0.25">
      <c r="K70" t="s">
        <v>75</v>
      </c>
      <c r="L70">
        <v>-0.17672252906381344</v>
      </c>
      <c r="M70">
        <v>1.1673301820181132E-2</v>
      </c>
      <c r="N70">
        <v>-15.139035363438524</v>
      </c>
      <c r="O70">
        <v>4.7589663041141636E-28</v>
      </c>
      <c r="P70">
        <v>-0.19987112463120346</v>
      </c>
      <c r="Q70">
        <v>-0.15357393349642343</v>
      </c>
      <c r="R70">
        <v>-0.19987112463120346</v>
      </c>
      <c r="S70">
        <v>-0.15357393349642343</v>
      </c>
      <c r="U70" t="s">
        <v>75</v>
      </c>
      <c r="V70">
        <v>-0.16279548064861357</v>
      </c>
      <c r="W70">
        <v>1.0588367047602782E-2</v>
      </c>
      <c r="X70">
        <v>-15.374937411663552</v>
      </c>
      <c r="Y70">
        <v>2.0017989863234704E-28</v>
      </c>
      <c r="Z70">
        <v>-0.18379500936582499</v>
      </c>
      <c r="AA70">
        <v>-0.14179595193140215</v>
      </c>
      <c r="AB70">
        <v>-0.18379500936582499</v>
      </c>
      <c r="AC70">
        <v>-0.14179595193140215</v>
      </c>
    </row>
    <row r="71" spans="1:29" ht="15.75" thickBot="1" x14ac:dyDescent="0.3">
      <c r="K71" s="8" t="s">
        <v>76</v>
      </c>
      <c r="L71" s="8">
        <v>3.9626166948427584E-2</v>
      </c>
      <c r="M71" s="8">
        <v>1.5593842897024474E-2</v>
      </c>
      <c r="N71" s="8">
        <v>2.5411418602908213</v>
      </c>
      <c r="O71" s="8">
        <v>1.2525206381917965E-2</v>
      </c>
      <c r="P71" s="8">
        <v>8.7029913015362996E-3</v>
      </c>
      <c r="Q71" s="8">
        <v>7.0549342595318865E-2</v>
      </c>
      <c r="R71" s="8">
        <v>8.7029913015362996E-3</v>
      </c>
      <c r="S71" s="8">
        <v>7.0549342595318865E-2</v>
      </c>
      <c r="U71" t="s">
        <v>76</v>
      </c>
      <c r="V71">
        <v>3.1834517272890966E-2</v>
      </c>
      <c r="W71">
        <v>1.3814165697716707E-2</v>
      </c>
      <c r="X71">
        <v>2.3044835257877918</v>
      </c>
      <c r="Y71">
        <v>2.3202273068171405E-2</v>
      </c>
      <c r="Z71">
        <v>4.4373777546499668E-3</v>
      </c>
      <c r="AA71">
        <v>5.9231656791131966E-2</v>
      </c>
      <c r="AB71">
        <v>4.4373777546499668E-3</v>
      </c>
      <c r="AC71">
        <v>5.9231656791131966E-2</v>
      </c>
    </row>
    <row r="72" spans="1:29" ht="15.75" thickBot="1" x14ac:dyDescent="0.3">
      <c r="U72" s="8" t="s">
        <v>114</v>
      </c>
      <c r="V72" s="8">
        <v>-3.9354987528548831E-2</v>
      </c>
      <c r="W72" s="8">
        <v>7.0796493066695495E-3</v>
      </c>
      <c r="X72" s="8">
        <v>-5.5588894059305369</v>
      </c>
      <c r="Y72" s="8">
        <v>2.146493364502499E-7</v>
      </c>
      <c r="Z72" s="8">
        <v>-5.3395802156036835E-2</v>
      </c>
      <c r="AA72" s="8">
        <v>-2.5314172901060826E-2</v>
      </c>
      <c r="AB72" s="8">
        <v>-5.3395802156036835E-2</v>
      </c>
      <c r="AC72" s="8">
        <v>-2.5314172901060826E-2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C7B48-196F-4AD1-95F0-C01B5EA41572}">
  <dimension ref="A1:AC72"/>
  <sheetViews>
    <sheetView topLeftCell="A15" zoomScale="46" zoomScaleNormal="46" workbookViewId="0">
      <selection activeCell="D9" sqref="D9"/>
    </sheetView>
  </sheetViews>
  <sheetFormatPr defaultRowHeight="15" x14ac:dyDescent="0.25"/>
  <sheetData>
    <row r="1" spans="1:26" x14ac:dyDescent="0.25">
      <c r="A1" s="11" t="s">
        <v>129</v>
      </c>
    </row>
    <row r="3" spans="1:26" x14ac:dyDescent="0.25">
      <c r="A3" s="11" t="s">
        <v>16</v>
      </c>
      <c r="K3" s="14"/>
    </row>
    <row r="4" spans="1:26" x14ac:dyDescent="0.25">
      <c r="A4" s="14" t="s">
        <v>111</v>
      </c>
      <c r="K4" s="14" t="s">
        <v>112</v>
      </c>
      <c r="U4" s="14" t="s">
        <v>115</v>
      </c>
    </row>
    <row r="5" spans="1:26" ht="15.75" thickBot="1" x14ac:dyDescent="0.3"/>
    <row r="6" spans="1:26" x14ac:dyDescent="0.25">
      <c r="A6" s="10" t="s">
        <v>88</v>
      </c>
      <c r="B6" s="10"/>
      <c r="K6" s="10" t="s">
        <v>88</v>
      </c>
      <c r="L6" s="10"/>
      <c r="U6" s="10" t="s">
        <v>88</v>
      </c>
      <c r="V6" s="10"/>
    </row>
    <row r="7" spans="1:26" x14ac:dyDescent="0.25">
      <c r="A7" t="s">
        <v>89</v>
      </c>
      <c r="B7">
        <v>0.98997938164528876</v>
      </c>
      <c r="K7" t="s">
        <v>89</v>
      </c>
      <c r="L7">
        <v>0.99068468012783184</v>
      </c>
      <c r="U7" t="s">
        <v>89</v>
      </c>
      <c r="V7">
        <v>0.99082256405245539</v>
      </c>
    </row>
    <row r="8" spans="1:26" x14ac:dyDescent="0.25">
      <c r="A8" t="s">
        <v>90</v>
      </c>
      <c r="B8">
        <v>0.98005917608278825</v>
      </c>
      <c r="K8" t="s">
        <v>90</v>
      </c>
      <c r="L8">
        <v>0.98145613543998445</v>
      </c>
      <c r="U8" t="s">
        <v>90</v>
      </c>
      <c r="V8">
        <v>0.98172935343548196</v>
      </c>
    </row>
    <row r="9" spans="1:26" x14ac:dyDescent="0.25">
      <c r="A9" t="s">
        <v>91</v>
      </c>
      <c r="B9">
        <v>0.97981599530330998</v>
      </c>
      <c r="K9" t="s">
        <v>91</v>
      </c>
      <c r="L9">
        <v>0.98076074051898376</v>
      </c>
      <c r="U9" t="s">
        <v>91</v>
      </c>
      <c r="V9">
        <v>0.98080425740689881</v>
      </c>
    </row>
    <row r="10" spans="1:26" x14ac:dyDescent="0.25">
      <c r="A10" t="s">
        <v>92</v>
      </c>
      <c r="B10">
        <v>7.4282826213630483E-3</v>
      </c>
      <c r="K10" t="s">
        <v>92</v>
      </c>
      <c r="L10">
        <v>7.2523528471028541E-3</v>
      </c>
      <c r="U10" t="s">
        <v>92</v>
      </c>
      <c r="V10">
        <v>7.2441462295198484E-3</v>
      </c>
    </row>
    <row r="11" spans="1:26" ht="15.75" thickBot="1" x14ac:dyDescent="0.3">
      <c r="A11" s="8" t="s">
        <v>93</v>
      </c>
      <c r="B11" s="8">
        <v>84</v>
      </c>
      <c r="K11" s="8" t="s">
        <v>93</v>
      </c>
      <c r="L11" s="8">
        <v>84</v>
      </c>
      <c r="U11" s="8" t="s">
        <v>93</v>
      </c>
      <c r="V11" s="8">
        <v>84</v>
      </c>
    </row>
    <row r="13" spans="1:26" ht="15.75" thickBot="1" x14ac:dyDescent="0.3">
      <c r="A13" t="s">
        <v>94</v>
      </c>
      <c r="K13" t="s">
        <v>94</v>
      </c>
      <c r="U13" t="s">
        <v>94</v>
      </c>
    </row>
    <row r="14" spans="1:26" x14ac:dyDescent="0.25">
      <c r="A14" s="9"/>
      <c r="B14" s="9" t="s">
        <v>99</v>
      </c>
      <c r="C14" s="9" t="s">
        <v>100</v>
      </c>
      <c r="D14" s="9" t="s">
        <v>101</v>
      </c>
      <c r="E14" s="9" t="s">
        <v>102</v>
      </c>
      <c r="F14" s="9" t="s">
        <v>103</v>
      </c>
      <c r="K14" s="9"/>
      <c r="L14" s="9" t="s">
        <v>99</v>
      </c>
      <c r="M14" s="9" t="s">
        <v>100</v>
      </c>
      <c r="N14" s="9" t="s">
        <v>101</v>
      </c>
      <c r="O14" s="9" t="s">
        <v>102</v>
      </c>
      <c r="P14" s="9" t="s">
        <v>103</v>
      </c>
      <c r="U14" s="9"/>
      <c r="V14" s="9" t="s">
        <v>99</v>
      </c>
      <c r="W14" s="9" t="s">
        <v>100</v>
      </c>
      <c r="X14" s="9" t="s">
        <v>101</v>
      </c>
      <c r="Y14" s="9" t="s">
        <v>102</v>
      </c>
      <c r="Z14" s="9" t="s">
        <v>103</v>
      </c>
    </row>
    <row r="15" spans="1:26" x14ac:dyDescent="0.25">
      <c r="A15" t="s">
        <v>95</v>
      </c>
      <c r="B15">
        <v>1</v>
      </c>
      <c r="C15">
        <v>0.22238213260335485</v>
      </c>
      <c r="D15">
        <v>0.22238213260335485</v>
      </c>
      <c r="E15">
        <v>4030.16709702865</v>
      </c>
      <c r="F15">
        <v>1.727606614596288E-71</v>
      </c>
      <c r="K15" t="s">
        <v>95</v>
      </c>
      <c r="L15">
        <v>3</v>
      </c>
      <c r="M15">
        <v>0.22269911223947761</v>
      </c>
      <c r="N15">
        <v>7.4233037413159203E-2</v>
      </c>
      <c r="O15">
        <v>1411.3651190143812</v>
      </c>
      <c r="P15">
        <v>3.8156479697155609E-69</v>
      </c>
      <c r="U15" t="s">
        <v>95</v>
      </c>
      <c r="V15">
        <v>4</v>
      </c>
      <c r="W15">
        <v>0.22276110727200943</v>
      </c>
      <c r="X15">
        <v>5.5690276818002357E-2</v>
      </c>
      <c r="Y15">
        <v>1061.2188606398242</v>
      </c>
      <c r="Z15">
        <v>8.6881242677085413E-68</v>
      </c>
    </row>
    <row r="16" spans="1:26" x14ac:dyDescent="0.25">
      <c r="A16" t="s">
        <v>96</v>
      </c>
      <c r="B16">
        <v>82</v>
      </c>
      <c r="C16">
        <v>4.5247093816332311E-3</v>
      </c>
      <c r="D16">
        <v>5.5179382702844283E-5</v>
      </c>
      <c r="K16" t="s">
        <v>96</v>
      </c>
      <c r="L16">
        <v>80</v>
      </c>
      <c r="M16">
        <v>4.2077297455104697E-3</v>
      </c>
      <c r="N16">
        <v>5.2596621818880873E-5</v>
      </c>
      <c r="U16" t="s">
        <v>96</v>
      </c>
      <c r="V16">
        <v>79</v>
      </c>
      <c r="W16">
        <v>4.1457347129786638E-3</v>
      </c>
      <c r="X16">
        <v>5.2477654594666631E-5</v>
      </c>
    </row>
    <row r="17" spans="1:29" ht="15.75" thickBot="1" x14ac:dyDescent="0.3">
      <c r="A17" s="8" t="s">
        <v>97</v>
      </c>
      <c r="B17" s="8">
        <v>83</v>
      </c>
      <c r="C17" s="8">
        <v>0.22690684198498809</v>
      </c>
      <c r="D17" s="8"/>
      <c r="E17" s="8"/>
      <c r="F17" s="8"/>
      <c r="K17" s="8" t="s">
        <v>97</v>
      </c>
      <c r="L17" s="8">
        <v>83</v>
      </c>
      <c r="M17" s="8">
        <v>0.22690684198498809</v>
      </c>
      <c r="N17" s="8"/>
      <c r="O17" s="8"/>
      <c r="P17" s="8"/>
      <c r="U17" s="8" t="s">
        <v>97</v>
      </c>
      <c r="V17" s="8">
        <v>83</v>
      </c>
      <c r="W17" s="8">
        <v>0.22690684198498809</v>
      </c>
      <c r="X17" s="8"/>
      <c r="Y17" s="8"/>
      <c r="Z17" s="8"/>
    </row>
    <row r="18" spans="1:29" ht="15.75" thickBot="1" x14ac:dyDescent="0.3"/>
    <row r="19" spans="1:29" x14ac:dyDescent="0.25">
      <c r="A19" s="9"/>
      <c r="B19" s="9" t="s">
        <v>104</v>
      </c>
      <c r="C19" s="9" t="s">
        <v>92</v>
      </c>
      <c r="D19" s="9" t="s">
        <v>105</v>
      </c>
      <c r="E19" s="9" t="s">
        <v>106</v>
      </c>
      <c r="F19" s="9" t="s">
        <v>107</v>
      </c>
      <c r="G19" s="9" t="s">
        <v>108</v>
      </c>
      <c r="H19" s="9" t="s">
        <v>109</v>
      </c>
      <c r="I19" s="9" t="s">
        <v>110</v>
      </c>
      <c r="K19" s="9"/>
      <c r="L19" s="9" t="s">
        <v>104</v>
      </c>
      <c r="M19" s="9" t="s">
        <v>92</v>
      </c>
      <c r="N19" s="9" t="s">
        <v>105</v>
      </c>
      <c r="O19" s="9" t="s">
        <v>106</v>
      </c>
      <c r="P19" s="9" t="s">
        <v>107</v>
      </c>
      <c r="Q19" s="9" t="s">
        <v>108</v>
      </c>
      <c r="R19" s="9" t="s">
        <v>109</v>
      </c>
      <c r="S19" s="9" t="s">
        <v>110</v>
      </c>
      <c r="U19" s="9"/>
      <c r="V19" s="9" t="s">
        <v>104</v>
      </c>
      <c r="W19" s="9" t="s">
        <v>92</v>
      </c>
      <c r="X19" s="9" t="s">
        <v>105</v>
      </c>
      <c r="Y19" s="9" t="s">
        <v>106</v>
      </c>
      <c r="Z19" s="9" t="s">
        <v>107</v>
      </c>
      <c r="AA19" s="9" t="s">
        <v>108</v>
      </c>
      <c r="AB19" s="9" t="s">
        <v>109</v>
      </c>
      <c r="AC19" s="9" t="s">
        <v>110</v>
      </c>
    </row>
    <row r="20" spans="1:29" x14ac:dyDescent="0.25">
      <c r="A20" t="s">
        <v>98</v>
      </c>
      <c r="B20">
        <v>-3.2969586172471119E-4</v>
      </c>
      <c r="C20">
        <v>8.1653832060390563E-4</v>
      </c>
      <c r="D20">
        <v>-0.4037726747237908</v>
      </c>
      <c r="E20">
        <v>0.68743095009262312</v>
      </c>
      <c r="F20">
        <v>-1.9540506955151912E-3</v>
      </c>
      <c r="G20">
        <v>1.2946589720657688E-3</v>
      </c>
      <c r="H20">
        <v>-1.9540506955151912E-3</v>
      </c>
      <c r="I20">
        <v>1.2946589720657688E-3</v>
      </c>
      <c r="K20" t="s">
        <v>98</v>
      </c>
      <c r="L20">
        <v>-5.5489617754366318E-4</v>
      </c>
      <c r="M20">
        <v>8.0693361846942869E-4</v>
      </c>
      <c r="N20">
        <v>-0.68766025462686287</v>
      </c>
      <c r="O20">
        <v>0.49365570075909948</v>
      </c>
      <c r="P20">
        <v>-2.1607452550401656E-3</v>
      </c>
      <c r="Q20">
        <v>1.050952899952839E-3</v>
      </c>
      <c r="R20">
        <v>-2.1607452550401656E-3</v>
      </c>
      <c r="S20">
        <v>1.050952899952839E-3</v>
      </c>
      <c r="U20" t="s">
        <v>98</v>
      </c>
      <c r="V20">
        <v>-5.5937105961744273E-4</v>
      </c>
      <c r="W20">
        <v>8.0603102332775804E-4</v>
      </c>
      <c r="X20">
        <v>-0.69398204712771272</v>
      </c>
      <c r="Y20">
        <v>0.48972915711912413</v>
      </c>
      <c r="Z20">
        <v>-2.1637356794521846E-3</v>
      </c>
      <c r="AA20">
        <v>1.0449935602172989E-3</v>
      </c>
      <c r="AB20">
        <v>-2.1637356794521846E-3</v>
      </c>
      <c r="AC20">
        <v>1.0449935602172989E-3</v>
      </c>
    </row>
    <row r="21" spans="1:29" ht="15.75" thickBot="1" x14ac:dyDescent="0.3">
      <c r="A21" s="8" t="s">
        <v>87</v>
      </c>
      <c r="B21" s="8">
        <v>1.0338339569680921</v>
      </c>
      <c r="C21" s="8">
        <v>1.628505637160968E-2</v>
      </c>
      <c r="D21" s="8">
        <v>63.483597070650106</v>
      </c>
      <c r="E21" s="8">
        <v>1.7276066145962391E-71</v>
      </c>
      <c r="F21" s="8">
        <v>1.0014377921240338</v>
      </c>
      <c r="G21" s="8">
        <v>1.0662301218121504</v>
      </c>
      <c r="H21" s="8">
        <v>1.0014377921240338</v>
      </c>
      <c r="I21" s="8">
        <v>1.0662301218121504</v>
      </c>
      <c r="K21" t="s">
        <v>87</v>
      </c>
      <c r="L21">
        <v>1.0247945880132467</v>
      </c>
      <c r="M21">
        <v>1.8607205759281174E-2</v>
      </c>
      <c r="N21">
        <v>55.075146761468183</v>
      </c>
      <c r="O21">
        <v>2.235986772876525E-65</v>
      </c>
      <c r="P21">
        <v>0.98776506845994616</v>
      </c>
      <c r="Q21">
        <v>1.0618241075665473</v>
      </c>
      <c r="R21">
        <v>0.98776506845994616</v>
      </c>
      <c r="S21">
        <v>1.0618241075665473</v>
      </c>
      <c r="U21" t="s">
        <v>87</v>
      </c>
      <c r="V21">
        <v>1.0199912858248839</v>
      </c>
      <c r="W21">
        <v>1.9104312591727828E-2</v>
      </c>
      <c r="X21">
        <v>53.390630043738938</v>
      </c>
      <c r="Y21">
        <v>9.4431939426244513E-64</v>
      </c>
      <c r="Z21">
        <v>0.98196510281037708</v>
      </c>
      <c r="AA21">
        <v>1.0580174688393906</v>
      </c>
      <c r="AB21">
        <v>0.98196510281037708</v>
      </c>
      <c r="AC21">
        <v>1.0580174688393906</v>
      </c>
    </row>
    <row r="22" spans="1:29" x14ac:dyDescent="0.25">
      <c r="K22" t="s">
        <v>75</v>
      </c>
      <c r="L22">
        <v>9.8008954321901279E-2</v>
      </c>
      <c r="M22">
        <v>4.213274660218478E-2</v>
      </c>
      <c r="N22">
        <v>2.3261942841585137</v>
      </c>
      <c r="O22">
        <v>2.2540345256958152E-2</v>
      </c>
      <c r="P22">
        <v>1.4162116471910735E-2</v>
      </c>
      <c r="Q22">
        <v>0.18185579217189182</v>
      </c>
      <c r="R22">
        <v>1.4162116471910735E-2</v>
      </c>
      <c r="S22">
        <v>0.18185579217189182</v>
      </c>
      <c r="U22" t="s">
        <v>75</v>
      </c>
      <c r="V22">
        <v>9.7587141996349616E-2</v>
      </c>
      <c r="W22">
        <v>4.2086859351045516E-2</v>
      </c>
      <c r="X22">
        <v>2.3187081074968683</v>
      </c>
      <c r="Y22">
        <v>2.2997108582593451E-2</v>
      </c>
      <c r="Z22">
        <v>1.3815343953135217E-2</v>
      </c>
      <c r="AA22">
        <v>0.18135894003956401</v>
      </c>
      <c r="AB22">
        <v>1.3815343953135217E-2</v>
      </c>
      <c r="AC22">
        <v>0.18135894003956401</v>
      </c>
    </row>
    <row r="23" spans="1:29" ht="15.75" thickBot="1" x14ac:dyDescent="0.3">
      <c r="K23" s="8" t="s">
        <v>76</v>
      </c>
      <c r="L23" s="8">
        <v>-3.1784484656270248E-2</v>
      </c>
      <c r="M23" s="8">
        <v>3.16880325603743E-2</v>
      </c>
      <c r="N23" s="8">
        <v>-1.0030438019688404</v>
      </c>
      <c r="O23" s="8">
        <v>0.31886403478849468</v>
      </c>
      <c r="P23" s="8">
        <v>-9.4845679146191061E-2</v>
      </c>
      <c r="Q23" s="8">
        <v>3.1276709833650565E-2</v>
      </c>
      <c r="R23" s="8">
        <v>-9.4845679146191061E-2</v>
      </c>
      <c r="S23" s="8">
        <v>3.1276709833650565E-2</v>
      </c>
      <c r="U23" t="s">
        <v>76</v>
      </c>
      <c r="V23">
        <v>-4.3983403265442492E-2</v>
      </c>
      <c r="W23">
        <v>3.358315308296992E-2</v>
      </c>
      <c r="X23">
        <v>-1.3096865311240402</v>
      </c>
      <c r="Y23">
        <v>0.19409788539503617</v>
      </c>
      <c r="Z23">
        <v>-0.11082899737963056</v>
      </c>
      <c r="AA23">
        <v>2.2862190848745578E-2</v>
      </c>
      <c r="AB23">
        <v>-0.11082899737963056</v>
      </c>
      <c r="AC23">
        <v>2.2862190848745578E-2</v>
      </c>
    </row>
    <row r="24" spans="1:29" ht="15.75" thickBot="1" x14ac:dyDescent="0.3">
      <c r="U24" s="8" t="s">
        <v>114</v>
      </c>
      <c r="V24" s="8">
        <v>-1.7859652784281022E-2</v>
      </c>
      <c r="W24" s="8">
        <v>1.6431672620727544E-2</v>
      </c>
      <c r="X24" s="8">
        <v>-1.0869041269573598</v>
      </c>
      <c r="Y24" s="8">
        <v>0.28038437113311443</v>
      </c>
      <c r="Z24" s="8">
        <v>-5.0566079006640813E-2</v>
      </c>
      <c r="AA24" s="8">
        <v>1.4846773438078765E-2</v>
      </c>
      <c r="AB24" s="8">
        <v>-5.0566079006640813E-2</v>
      </c>
      <c r="AC24" s="8">
        <v>1.4846773438078765E-2</v>
      </c>
    </row>
    <row r="25" spans="1:29" ht="15.75" thickBot="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row>
    <row r="27" spans="1:29" x14ac:dyDescent="0.25">
      <c r="A27" s="11" t="s">
        <v>124</v>
      </c>
    </row>
    <row r="28" spans="1:29" x14ac:dyDescent="0.25">
      <c r="A28" s="14" t="s">
        <v>111</v>
      </c>
      <c r="K28" t="s">
        <v>112</v>
      </c>
      <c r="U28" t="s">
        <v>115</v>
      </c>
    </row>
    <row r="29" spans="1:29" ht="15.75" thickBot="1" x14ac:dyDescent="0.3"/>
    <row r="30" spans="1:29" x14ac:dyDescent="0.25">
      <c r="A30" s="10" t="s">
        <v>88</v>
      </c>
      <c r="B30" s="10"/>
      <c r="K30" s="10" t="s">
        <v>88</v>
      </c>
      <c r="L30" s="10"/>
      <c r="U30" s="10" t="s">
        <v>88</v>
      </c>
      <c r="V30" s="10"/>
    </row>
    <row r="31" spans="1:29" x14ac:dyDescent="0.25">
      <c r="A31" t="s">
        <v>89</v>
      </c>
      <c r="B31">
        <v>0.95297332822585834</v>
      </c>
      <c r="K31" t="s">
        <v>89</v>
      </c>
      <c r="L31">
        <v>0.97282548548379322</v>
      </c>
      <c r="U31" t="s">
        <v>89</v>
      </c>
      <c r="V31">
        <v>0.97313560357370943</v>
      </c>
    </row>
    <row r="32" spans="1:29" x14ac:dyDescent="0.25">
      <c r="A32" t="s">
        <v>90</v>
      </c>
      <c r="B32">
        <v>0.90815816430986962</v>
      </c>
      <c r="K32" t="s">
        <v>90</v>
      </c>
      <c r="L32">
        <v>0.94638942520677793</v>
      </c>
      <c r="U32" t="s">
        <v>90</v>
      </c>
      <c r="V32">
        <v>0.94699290294276772</v>
      </c>
    </row>
    <row r="33" spans="1:29" x14ac:dyDescent="0.25">
      <c r="A33" t="s">
        <v>91</v>
      </c>
      <c r="B33">
        <v>0.90703814192340471</v>
      </c>
      <c r="K33" t="s">
        <v>91</v>
      </c>
      <c r="L33">
        <v>0.94437902865203205</v>
      </c>
      <c r="U33" t="s">
        <v>91</v>
      </c>
      <c r="V33">
        <v>0.94430899929430023</v>
      </c>
    </row>
    <row r="34" spans="1:29" x14ac:dyDescent="0.25">
      <c r="A34" t="s">
        <v>92</v>
      </c>
      <c r="B34">
        <v>1.5370746874067986E-2</v>
      </c>
      <c r="K34" t="s">
        <v>92</v>
      </c>
      <c r="L34">
        <v>1.1889452532378539E-2</v>
      </c>
      <c r="U34" t="s">
        <v>92</v>
      </c>
      <c r="V34">
        <v>1.1896934861395108E-2</v>
      </c>
    </row>
    <row r="35" spans="1:29" ht="15.75" thickBot="1" x14ac:dyDescent="0.3">
      <c r="A35" s="8" t="s">
        <v>93</v>
      </c>
      <c r="B35" s="8">
        <v>84</v>
      </c>
      <c r="K35" s="8" t="s">
        <v>93</v>
      </c>
      <c r="L35" s="8">
        <v>84</v>
      </c>
      <c r="U35" s="8" t="s">
        <v>93</v>
      </c>
      <c r="V35" s="8">
        <v>84</v>
      </c>
    </row>
    <row r="37" spans="1:29" ht="15.75" thickBot="1" x14ac:dyDescent="0.3">
      <c r="A37" t="s">
        <v>94</v>
      </c>
      <c r="K37" t="s">
        <v>94</v>
      </c>
      <c r="U37" t="s">
        <v>94</v>
      </c>
    </row>
    <row r="38" spans="1:29" x14ac:dyDescent="0.25">
      <c r="A38" s="9"/>
      <c r="B38" s="9" t="s">
        <v>99</v>
      </c>
      <c r="C38" s="9" t="s">
        <v>100</v>
      </c>
      <c r="D38" s="9" t="s">
        <v>101</v>
      </c>
      <c r="E38" s="9" t="s">
        <v>102</v>
      </c>
      <c r="F38" s="9" t="s">
        <v>103</v>
      </c>
      <c r="K38" s="9"/>
      <c r="L38" s="9" t="s">
        <v>99</v>
      </c>
      <c r="M38" s="9" t="s">
        <v>100</v>
      </c>
      <c r="N38" s="9" t="s">
        <v>101</v>
      </c>
      <c r="O38" s="9" t="s">
        <v>102</v>
      </c>
      <c r="P38" s="9" t="s">
        <v>103</v>
      </c>
      <c r="U38" s="9"/>
      <c r="V38" s="9" t="s">
        <v>99</v>
      </c>
      <c r="W38" s="9" t="s">
        <v>100</v>
      </c>
      <c r="X38" s="9" t="s">
        <v>101</v>
      </c>
      <c r="Y38" s="9" t="s">
        <v>102</v>
      </c>
      <c r="Z38" s="9" t="s">
        <v>103</v>
      </c>
    </row>
    <row r="39" spans="1:29" x14ac:dyDescent="0.25">
      <c r="A39" t="s">
        <v>95</v>
      </c>
      <c r="B39">
        <v>1</v>
      </c>
      <c r="C39">
        <v>0.19156877832643535</v>
      </c>
      <c r="D39">
        <v>0.19156877832643535</v>
      </c>
      <c r="E39">
        <v>810.83929686100578</v>
      </c>
      <c r="F39">
        <v>2.810410740627388E-44</v>
      </c>
      <c r="K39" t="s">
        <v>95</v>
      </c>
      <c r="L39">
        <v>3</v>
      </c>
      <c r="M39">
        <v>0.19963336028112774</v>
      </c>
      <c r="N39">
        <v>6.6544453427042585E-2</v>
      </c>
      <c r="O39">
        <v>470.74763581975537</v>
      </c>
      <c r="P39">
        <v>1.0372325820202754E-50</v>
      </c>
      <c r="U39" t="s">
        <v>95</v>
      </c>
      <c r="V39">
        <v>4</v>
      </c>
      <c r="W39">
        <v>0.19976065913409638</v>
      </c>
      <c r="X39">
        <v>4.9940164783524095E-2</v>
      </c>
      <c r="Y39">
        <v>352.84161690510422</v>
      </c>
      <c r="Z39">
        <v>1.5689004148988271E-49</v>
      </c>
    </row>
    <row r="40" spans="1:29" x14ac:dyDescent="0.25">
      <c r="A40" t="s">
        <v>96</v>
      </c>
      <c r="B40">
        <v>82</v>
      </c>
      <c r="C40">
        <v>1.9373308476267E-2</v>
      </c>
      <c r="D40">
        <v>2.3625985946667074E-4</v>
      </c>
      <c r="K40" t="s">
        <v>96</v>
      </c>
      <c r="L40">
        <v>80</v>
      </c>
      <c r="M40">
        <v>1.1308726521574596E-2</v>
      </c>
      <c r="N40">
        <v>1.4135908151968244E-4</v>
      </c>
      <c r="U40" t="s">
        <v>96</v>
      </c>
      <c r="V40">
        <v>79</v>
      </c>
      <c r="W40">
        <v>1.118142766860598E-2</v>
      </c>
      <c r="X40">
        <v>1.4153705909627823E-4</v>
      </c>
    </row>
    <row r="41" spans="1:29" ht="15.75" thickBot="1" x14ac:dyDescent="0.3">
      <c r="A41" s="8" t="s">
        <v>97</v>
      </c>
      <c r="B41" s="8">
        <v>83</v>
      </c>
      <c r="C41" s="8">
        <v>0.21094208680270235</v>
      </c>
      <c r="D41" s="8"/>
      <c r="E41" s="8"/>
      <c r="F41" s="8"/>
      <c r="K41" s="8" t="s">
        <v>97</v>
      </c>
      <c r="L41" s="8">
        <v>83</v>
      </c>
      <c r="M41" s="8">
        <v>0.21094208680270235</v>
      </c>
      <c r="N41" s="8"/>
      <c r="O41" s="8"/>
      <c r="P41" s="8"/>
      <c r="U41" s="8" t="s">
        <v>97</v>
      </c>
      <c r="V41" s="8">
        <v>83</v>
      </c>
      <c r="W41" s="8">
        <v>0.21094208680270235</v>
      </c>
      <c r="X41" s="8"/>
      <c r="Y41" s="8"/>
      <c r="Z41" s="8"/>
    </row>
    <row r="42" spans="1:29" ht="15.75" thickBot="1" x14ac:dyDescent="0.3"/>
    <row r="43" spans="1:29" x14ac:dyDescent="0.25">
      <c r="A43" s="9"/>
      <c r="B43" s="9" t="s">
        <v>104</v>
      </c>
      <c r="C43" s="9" t="s">
        <v>92</v>
      </c>
      <c r="D43" s="9" t="s">
        <v>105</v>
      </c>
      <c r="E43" s="9" t="s">
        <v>106</v>
      </c>
      <c r="F43" s="9" t="s">
        <v>107</v>
      </c>
      <c r="G43" s="9" t="s">
        <v>108</v>
      </c>
      <c r="H43" s="9" t="s">
        <v>109</v>
      </c>
      <c r="I43" s="9" t="s">
        <v>110</v>
      </c>
      <c r="K43" s="9"/>
      <c r="L43" s="9" t="s">
        <v>104</v>
      </c>
      <c r="M43" s="9" t="s">
        <v>92</v>
      </c>
      <c r="N43" s="9" t="s">
        <v>105</v>
      </c>
      <c r="O43" s="9" t="s">
        <v>106</v>
      </c>
      <c r="P43" s="9" t="s">
        <v>107</v>
      </c>
      <c r="Q43" s="9" t="s">
        <v>108</v>
      </c>
      <c r="R43" s="9" t="s">
        <v>109</v>
      </c>
      <c r="S43" s="9" t="s">
        <v>110</v>
      </c>
      <c r="U43" s="9"/>
      <c r="V43" s="9" t="s">
        <v>104</v>
      </c>
      <c r="W43" s="9" t="s">
        <v>92</v>
      </c>
      <c r="X43" s="9" t="s">
        <v>105</v>
      </c>
      <c r="Y43" s="9" t="s">
        <v>106</v>
      </c>
      <c r="Z43" s="9" t="s">
        <v>107</v>
      </c>
      <c r="AA43" s="9" t="s">
        <v>108</v>
      </c>
      <c r="AB43" s="9" t="s">
        <v>109</v>
      </c>
      <c r="AC43" s="9" t="s">
        <v>110</v>
      </c>
    </row>
    <row r="44" spans="1:29" x14ac:dyDescent="0.25">
      <c r="A44" t="s">
        <v>98</v>
      </c>
      <c r="B44">
        <v>1.1772165565146998E-3</v>
      </c>
      <c r="C44">
        <v>1.6895969739875354E-3</v>
      </c>
      <c r="D44">
        <v>0.69674400146231819</v>
      </c>
      <c r="E44">
        <v>0.48793351314367439</v>
      </c>
      <c r="F44">
        <v>-2.1839300579204997E-3</v>
      </c>
      <c r="G44">
        <v>4.5383631709498993E-3</v>
      </c>
      <c r="H44">
        <v>-2.1839300579204997E-3</v>
      </c>
      <c r="I44">
        <v>4.5383631709498993E-3</v>
      </c>
      <c r="K44" t="s">
        <v>98</v>
      </c>
      <c r="L44">
        <v>-1.252718254326911E-4</v>
      </c>
      <c r="M44">
        <v>1.3228808851192765E-3</v>
      </c>
      <c r="N44">
        <v>-9.4696224612389093E-2</v>
      </c>
      <c r="O44">
        <v>0.9247929043710823</v>
      </c>
      <c r="P44">
        <v>-2.75788868558527E-3</v>
      </c>
      <c r="Q44">
        <v>2.5073450347198878E-3</v>
      </c>
      <c r="R44">
        <v>-2.75788868558527E-3</v>
      </c>
      <c r="S44">
        <v>2.5073450347198878E-3</v>
      </c>
      <c r="U44" t="s">
        <v>98</v>
      </c>
      <c r="V44">
        <v>-1.1885950237999479E-4</v>
      </c>
      <c r="W44">
        <v>1.3237306753579392E-3</v>
      </c>
      <c r="X44">
        <v>-8.9791303165090555E-2</v>
      </c>
      <c r="Y44">
        <v>0.92868031865271994</v>
      </c>
      <c r="Z44">
        <v>-2.7536795034342749E-3</v>
      </c>
      <c r="AA44">
        <v>2.5159604986742857E-3</v>
      </c>
      <c r="AB44">
        <v>-2.7536795034342749E-3</v>
      </c>
      <c r="AC44">
        <v>2.5159604986742857E-3</v>
      </c>
    </row>
    <row r="45" spans="1:29" ht="15.75" thickBot="1" x14ac:dyDescent="0.3">
      <c r="A45" s="8" t="s">
        <v>87</v>
      </c>
      <c r="B45" s="8">
        <v>0.95954028391861845</v>
      </c>
      <c r="C45" s="8">
        <v>3.3697355374991009E-2</v>
      </c>
      <c r="D45" s="8">
        <v>28.475240066784455</v>
      </c>
      <c r="E45" s="8">
        <v>2.8104107406272675E-44</v>
      </c>
      <c r="F45" s="8">
        <v>0.89250550954472307</v>
      </c>
      <c r="G45" s="8">
        <v>1.0265750582925137</v>
      </c>
      <c r="H45" s="8">
        <v>0.89250550954472307</v>
      </c>
      <c r="I45" s="8">
        <v>1.0265750582925137</v>
      </c>
      <c r="K45" t="s">
        <v>87</v>
      </c>
      <c r="L45">
        <v>1.0551932804700328</v>
      </c>
      <c r="M45">
        <v>3.0504512714594423E-2</v>
      </c>
      <c r="N45">
        <v>34.591382932178149</v>
      </c>
      <c r="O45">
        <v>6.9925683104811451E-50</v>
      </c>
      <c r="P45">
        <v>0.99448736553352723</v>
      </c>
      <c r="Q45">
        <v>1.1158991954065383</v>
      </c>
      <c r="R45">
        <v>0.99448736553352723</v>
      </c>
      <c r="S45">
        <v>1.1158991954065383</v>
      </c>
      <c r="U45" t="s">
        <v>87</v>
      </c>
      <c r="V45">
        <v>1.0620762161192041</v>
      </c>
      <c r="W45">
        <v>3.1374678985542914E-2</v>
      </c>
      <c r="X45">
        <v>33.851381128348642</v>
      </c>
      <c r="Y45">
        <v>8.7484475075125336E-49</v>
      </c>
      <c r="Z45">
        <v>0.99962647973652741</v>
      </c>
      <c r="AA45">
        <v>1.1245259525018807</v>
      </c>
      <c r="AB45">
        <v>0.99962647973652741</v>
      </c>
      <c r="AC45">
        <v>1.1245259525018807</v>
      </c>
    </row>
    <row r="46" spans="1:29" x14ac:dyDescent="0.25">
      <c r="K46" t="s">
        <v>75</v>
      </c>
      <c r="L46">
        <v>-3.7079999189532954E-2</v>
      </c>
      <c r="M46">
        <v>6.9072106852263962E-2</v>
      </c>
      <c r="N46">
        <v>-0.53683029053742537</v>
      </c>
      <c r="O46">
        <v>0.59287471701199479</v>
      </c>
      <c r="P46">
        <v>-0.17453787246520214</v>
      </c>
      <c r="Q46">
        <v>0.10037787408613624</v>
      </c>
      <c r="R46">
        <v>-0.17453787246520214</v>
      </c>
      <c r="S46">
        <v>0.10037787408613624</v>
      </c>
      <c r="U46" t="s">
        <v>75</v>
      </c>
      <c r="V46">
        <v>-3.6475559373142646E-2</v>
      </c>
      <c r="W46">
        <v>6.9118514225971595E-2</v>
      </c>
      <c r="X46">
        <v>-0.52772487634632614</v>
      </c>
      <c r="Y46">
        <v>0.59916942303692144</v>
      </c>
      <c r="Z46">
        <v>-0.17405252054502196</v>
      </c>
      <c r="AA46">
        <v>0.10110140179873667</v>
      </c>
      <c r="AB46">
        <v>-0.17405252054502196</v>
      </c>
      <c r="AC46">
        <v>0.10110140179873667</v>
      </c>
    </row>
    <row r="47" spans="1:29" ht="15.75" thickBot="1" x14ac:dyDescent="0.3">
      <c r="K47" s="8" t="s">
        <v>76</v>
      </c>
      <c r="L47" s="8">
        <v>-0.38693648590519547</v>
      </c>
      <c r="M47" s="8">
        <v>5.1949121466358328E-2</v>
      </c>
      <c r="N47" s="8">
        <v>-7.4483740048572571</v>
      </c>
      <c r="O47" s="8">
        <v>9.646931600869815E-11</v>
      </c>
      <c r="P47" s="8">
        <v>-0.49031853230169942</v>
      </c>
      <c r="Q47" s="8">
        <v>-0.28355443950869152</v>
      </c>
      <c r="R47" s="8">
        <v>-0.49031853230169942</v>
      </c>
      <c r="S47" s="8">
        <v>-0.28355443950869152</v>
      </c>
      <c r="U47" t="s">
        <v>76</v>
      </c>
      <c r="V47">
        <v>-0.36945593430053997</v>
      </c>
      <c r="W47">
        <v>5.5153025906661643E-2</v>
      </c>
      <c r="X47">
        <v>-6.6987427838644722</v>
      </c>
      <c r="Y47">
        <v>2.7985469739704785E-9</v>
      </c>
      <c r="Z47">
        <v>-0.47923528631128237</v>
      </c>
      <c r="AA47">
        <v>-0.25967658228979756</v>
      </c>
      <c r="AB47">
        <v>-0.47923528631128237</v>
      </c>
      <c r="AC47">
        <v>-0.25967658228979756</v>
      </c>
    </row>
    <row r="48" spans="1:29" ht="15.75" thickBot="1" x14ac:dyDescent="0.3">
      <c r="U48" s="8" t="s">
        <v>114</v>
      </c>
      <c r="V48" s="8">
        <v>2.5592152234060941E-2</v>
      </c>
      <c r="W48" s="8">
        <v>2.6985449028618262E-2</v>
      </c>
      <c r="X48" s="8">
        <v>0.94836858956544612</v>
      </c>
      <c r="Y48" s="8">
        <v>0.34583395591542221</v>
      </c>
      <c r="Z48" s="8">
        <v>-2.8121040458106702E-2</v>
      </c>
      <c r="AA48" s="8">
        <v>7.930534492622858E-2</v>
      </c>
      <c r="AB48" s="8">
        <v>-2.8121040458106702E-2</v>
      </c>
      <c r="AC48" s="8">
        <v>7.930534492622858E-2</v>
      </c>
    </row>
    <row r="49" spans="1:29"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row>
    <row r="51" spans="1:29" x14ac:dyDescent="0.25">
      <c r="A51" s="11" t="s">
        <v>62</v>
      </c>
    </row>
    <row r="52" spans="1:29" x14ac:dyDescent="0.25">
      <c r="A52" s="14" t="s">
        <v>111</v>
      </c>
      <c r="K52" t="s">
        <v>112</v>
      </c>
      <c r="U52" t="s">
        <v>115</v>
      </c>
    </row>
    <row r="53" spans="1:29" ht="15.75" thickBot="1" x14ac:dyDescent="0.3"/>
    <row r="54" spans="1:29" x14ac:dyDescent="0.25">
      <c r="A54" s="10" t="s">
        <v>88</v>
      </c>
      <c r="B54" s="10"/>
      <c r="K54" s="10" t="s">
        <v>88</v>
      </c>
      <c r="L54" s="10"/>
      <c r="U54" s="10" t="s">
        <v>88</v>
      </c>
      <c r="V54" s="10"/>
    </row>
    <row r="55" spans="1:29" x14ac:dyDescent="0.25">
      <c r="A55" t="s">
        <v>89</v>
      </c>
      <c r="B55">
        <v>0.99765787215686719</v>
      </c>
      <c r="K55" t="s">
        <v>89</v>
      </c>
      <c r="L55">
        <v>0.99921234291136984</v>
      </c>
      <c r="U55" t="s">
        <v>89</v>
      </c>
      <c r="V55">
        <v>0.9992129111208562</v>
      </c>
    </row>
    <row r="56" spans="1:29" x14ac:dyDescent="0.25">
      <c r="A56" t="s">
        <v>90</v>
      </c>
      <c r="B56">
        <v>0.99532122987656801</v>
      </c>
      <c r="K56" t="s">
        <v>90</v>
      </c>
      <c r="L56">
        <v>0.99842530622642889</v>
      </c>
      <c r="U56" t="s">
        <v>90</v>
      </c>
      <c r="V56">
        <v>0.99842644175061601</v>
      </c>
    </row>
    <row r="57" spans="1:29" x14ac:dyDescent="0.25">
      <c r="A57" t="s">
        <v>91</v>
      </c>
      <c r="B57">
        <v>0.99526417170433112</v>
      </c>
      <c r="K57" t="s">
        <v>91</v>
      </c>
      <c r="L57">
        <v>0.99836625520991995</v>
      </c>
      <c r="U57" t="s">
        <v>91</v>
      </c>
      <c r="V57">
        <v>0.99834676791520416</v>
      </c>
    </row>
    <row r="58" spans="1:29" x14ac:dyDescent="0.25">
      <c r="A58" t="s">
        <v>92</v>
      </c>
      <c r="B58">
        <v>3.3425815342132755E-3</v>
      </c>
      <c r="K58" t="s">
        <v>92</v>
      </c>
      <c r="L58">
        <v>1.9632524289770457E-3</v>
      </c>
      <c r="U58" t="s">
        <v>92</v>
      </c>
      <c r="V58">
        <v>1.9749265495595044E-3</v>
      </c>
    </row>
    <row r="59" spans="1:29" ht="15.75" thickBot="1" x14ac:dyDescent="0.3">
      <c r="A59" s="8" t="s">
        <v>93</v>
      </c>
      <c r="B59" s="8">
        <v>84</v>
      </c>
      <c r="K59" s="8" t="s">
        <v>93</v>
      </c>
      <c r="L59" s="8">
        <v>84</v>
      </c>
      <c r="U59" s="8" t="s">
        <v>93</v>
      </c>
      <c r="V59" s="8">
        <v>84</v>
      </c>
    </row>
    <row r="61" spans="1:29" ht="15.75" thickBot="1" x14ac:dyDescent="0.3">
      <c r="A61" t="s">
        <v>94</v>
      </c>
      <c r="K61" t="s">
        <v>94</v>
      </c>
      <c r="U61" t="s">
        <v>94</v>
      </c>
    </row>
    <row r="62" spans="1:29" x14ac:dyDescent="0.25">
      <c r="A62" s="9"/>
      <c r="B62" s="9" t="s">
        <v>99</v>
      </c>
      <c r="C62" s="9" t="s">
        <v>100</v>
      </c>
      <c r="D62" s="9" t="s">
        <v>101</v>
      </c>
      <c r="E62" s="9" t="s">
        <v>102</v>
      </c>
      <c r="F62" s="9" t="s">
        <v>103</v>
      </c>
      <c r="K62" s="9"/>
      <c r="L62" s="9" t="s">
        <v>99</v>
      </c>
      <c r="M62" s="9" t="s">
        <v>100</v>
      </c>
      <c r="N62" s="9" t="s">
        <v>101</v>
      </c>
      <c r="O62" s="9" t="s">
        <v>102</v>
      </c>
      <c r="P62" s="9" t="s">
        <v>103</v>
      </c>
      <c r="U62" s="9"/>
      <c r="V62" s="9" t="s">
        <v>99</v>
      </c>
      <c r="W62" s="9" t="s">
        <v>100</v>
      </c>
      <c r="X62" s="9" t="s">
        <v>101</v>
      </c>
      <c r="Y62" s="9" t="s">
        <v>102</v>
      </c>
      <c r="Z62" s="9" t="s">
        <v>103</v>
      </c>
    </row>
    <row r="63" spans="1:29" x14ac:dyDescent="0.25">
      <c r="A63" t="s">
        <v>95</v>
      </c>
      <c r="B63">
        <v>1</v>
      </c>
      <c r="C63">
        <v>0.19489891936533327</v>
      </c>
      <c r="D63">
        <v>0.19489891936533327</v>
      </c>
      <c r="E63">
        <v>17443.973244407309</v>
      </c>
      <c r="F63">
        <v>2.6308930556460492E-97</v>
      </c>
      <c r="K63" t="s">
        <v>95</v>
      </c>
      <c r="L63">
        <v>3</v>
      </c>
      <c r="M63">
        <v>0.19550674436499735</v>
      </c>
      <c r="N63">
        <v>6.5168914788332449E-2</v>
      </c>
      <c r="O63">
        <v>16907.842832404061</v>
      </c>
      <c r="P63">
        <v>5.5594714665756713E-112</v>
      </c>
      <c r="U63" t="s">
        <v>95</v>
      </c>
      <c r="V63">
        <v>4</v>
      </c>
      <c r="W63">
        <v>0.19550696671777185</v>
      </c>
      <c r="X63">
        <v>4.8876741679442962E-2</v>
      </c>
      <c r="Y63">
        <v>12531.421847455869</v>
      </c>
      <c r="Z63">
        <v>7.6499667780486515E-110</v>
      </c>
    </row>
    <row r="64" spans="1:29" x14ac:dyDescent="0.25">
      <c r="A64" t="s">
        <v>96</v>
      </c>
      <c r="B64">
        <v>82</v>
      </c>
      <c r="C64">
        <v>9.1617380765481309E-4</v>
      </c>
      <c r="D64">
        <v>1.1172851312863574E-5</v>
      </c>
      <c r="K64" t="s">
        <v>96</v>
      </c>
      <c r="L64">
        <v>80</v>
      </c>
      <c r="M64">
        <v>3.0834880799074154E-4</v>
      </c>
      <c r="N64">
        <v>3.8543600998842695E-6</v>
      </c>
      <c r="U64" t="s">
        <v>96</v>
      </c>
      <c r="V64">
        <v>79</v>
      </c>
      <c r="W64">
        <v>3.081264552162457E-4</v>
      </c>
      <c r="X64">
        <v>3.9003348761550092E-6</v>
      </c>
    </row>
    <row r="65" spans="1:29" ht="15.75" thickBot="1" x14ac:dyDescent="0.3">
      <c r="A65" s="8" t="s">
        <v>97</v>
      </c>
      <c r="B65" s="8">
        <v>83</v>
      </c>
      <c r="C65" s="8">
        <v>0.19581509317298809</v>
      </c>
      <c r="D65" s="8"/>
      <c r="E65" s="8"/>
      <c r="F65" s="8"/>
      <c r="K65" s="8" t="s">
        <v>97</v>
      </c>
      <c r="L65" s="8">
        <v>83</v>
      </c>
      <c r="M65" s="8">
        <v>0.19581509317298809</v>
      </c>
      <c r="N65" s="8"/>
      <c r="O65" s="8"/>
      <c r="P65" s="8"/>
      <c r="U65" s="8" t="s">
        <v>97</v>
      </c>
      <c r="V65" s="8">
        <v>83</v>
      </c>
      <c r="W65" s="8">
        <v>0.19581509317298809</v>
      </c>
      <c r="X65" s="8"/>
      <c r="Y65" s="8"/>
      <c r="Z65" s="8"/>
    </row>
    <row r="66" spans="1:29" ht="15.75" thickBot="1" x14ac:dyDescent="0.3"/>
    <row r="67" spans="1:29" x14ac:dyDescent="0.25">
      <c r="A67" s="9"/>
      <c r="B67" s="9" t="s">
        <v>104</v>
      </c>
      <c r="C67" s="9" t="s">
        <v>92</v>
      </c>
      <c r="D67" s="9" t="s">
        <v>105</v>
      </c>
      <c r="E67" s="9" t="s">
        <v>106</v>
      </c>
      <c r="F67" s="9" t="s">
        <v>107</v>
      </c>
      <c r="G67" s="9" t="s">
        <v>108</v>
      </c>
      <c r="H67" s="9" t="s">
        <v>109</v>
      </c>
      <c r="I67" s="9" t="s">
        <v>110</v>
      </c>
      <c r="K67" s="9"/>
      <c r="L67" s="9" t="s">
        <v>104</v>
      </c>
      <c r="M67" s="9" t="s">
        <v>92</v>
      </c>
      <c r="N67" s="9" t="s">
        <v>105</v>
      </c>
      <c r="O67" s="9" t="s">
        <v>106</v>
      </c>
      <c r="P67" s="9" t="s">
        <v>107</v>
      </c>
      <c r="Q67" s="9" t="s">
        <v>108</v>
      </c>
      <c r="R67" s="9" t="s">
        <v>109</v>
      </c>
      <c r="S67" s="9" t="s">
        <v>110</v>
      </c>
      <c r="U67" s="9"/>
      <c r="V67" s="9" t="s">
        <v>104</v>
      </c>
      <c r="W67" s="9" t="s">
        <v>92</v>
      </c>
      <c r="X67" s="9" t="s">
        <v>105</v>
      </c>
      <c r="Y67" s="9" t="s">
        <v>106</v>
      </c>
      <c r="Z67" s="9" t="s">
        <v>107</v>
      </c>
      <c r="AA67" s="9" t="s">
        <v>108</v>
      </c>
      <c r="AB67" s="9" t="s">
        <v>109</v>
      </c>
      <c r="AC67" s="9" t="s">
        <v>110</v>
      </c>
    </row>
    <row r="68" spans="1:29" x14ac:dyDescent="0.25">
      <c r="A68" t="s">
        <v>98</v>
      </c>
      <c r="B68">
        <v>-5.932883269009967E-4</v>
      </c>
      <c r="C68">
        <v>3.6742623450793181E-4</v>
      </c>
      <c r="D68">
        <v>-1.6147141145093957</v>
      </c>
      <c r="E68">
        <v>0.11021423568250271</v>
      </c>
      <c r="F68">
        <v>-1.3242161535864387E-3</v>
      </c>
      <c r="G68">
        <v>1.3763949978444544E-4</v>
      </c>
      <c r="H68">
        <v>-1.3242161535864387E-3</v>
      </c>
      <c r="I68">
        <v>1.3763949978444544E-4</v>
      </c>
      <c r="K68" t="s">
        <v>98</v>
      </c>
      <c r="L68">
        <v>-3.7189366750241075E-4</v>
      </c>
      <c r="M68">
        <v>2.1844143823148367E-4</v>
      </c>
      <c r="N68">
        <v>-1.7024868107136013</v>
      </c>
      <c r="O68">
        <v>9.2546987840064251E-2</v>
      </c>
      <c r="P68">
        <v>-8.0660598341309917E-4</v>
      </c>
      <c r="Q68">
        <v>6.2818648408277721E-5</v>
      </c>
      <c r="R68">
        <v>-8.0660598341309917E-4</v>
      </c>
      <c r="S68">
        <v>6.2818648408277721E-5</v>
      </c>
      <c r="U68" t="s">
        <v>98</v>
      </c>
      <c r="V68">
        <v>-3.7162567390086224E-4</v>
      </c>
      <c r="W68">
        <v>2.1974322677968848E-4</v>
      </c>
      <c r="X68">
        <v>-1.6911814727898258</v>
      </c>
      <c r="Y68">
        <v>9.4743858140179688E-2</v>
      </c>
      <c r="Z68">
        <v>-8.0901362584114001E-4</v>
      </c>
      <c r="AA68">
        <v>6.5762278039415518E-5</v>
      </c>
      <c r="AB68">
        <v>-8.0901362584114001E-4</v>
      </c>
      <c r="AC68">
        <v>6.5762278039415518E-5</v>
      </c>
    </row>
    <row r="69" spans="1:29" ht="15.75" thickBot="1" x14ac:dyDescent="0.3">
      <c r="A69" s="8" t="s">
        <v>87</v>
      </c>
      <c r="B69" s="8">
        <v>0.96784444773198564</v>
      </c>
      <c r="C69" s="8">
        <v>7.3279560681788385E-3</v>
      </c>
      <c r="D69" s="8">
        <v>132.0756345599267</v>
      </c>
      <c r="E69" s="8">
        <v>2.6308930556460492E-97</v>
      </c>
      <c r="F69" s="8">
        <v>0.95326680873967595</v>
      </c>
      <c r="G69" s="8">
        <v>0.98242208672429532</v>
      </c>
      <c r="H69" s="8">
        <v>0.95326680873967595</v>
      </c>
      <c r="I69" s="8">
        <v>0.98242208672429532</v>
      </c>
      <c r="K69" t="s">
        <v>87</v>
      </c>
      <c r="L69">
        <v>0.98817103193813216</v>
      </c>
      <c r="M69">
        <v>5.0370745430536479E-3</v>
      </c>
      <c r="N69">
        <v>196.17955293134671</v>
      </c>
      <c r="O69">
        <v>4.2141074514346463E-109</v>
      </c>
      <c r="P69">
        <v>0.97814693413986908</v>
      </c>
      <c r="Q69">
        <v>0.99819512973639524</v>
      </c>
      <c r="R69">
        <v>0.97814693413986908</v>
      </c>
      <c r="S69">
        <v>0.99819512973639524</v>
      </c>
      <c r="U69" t="s">
        <v>87</v>
      </c>
      <c r="V69">
        <v>0.9884586941003034</v>
      </c>
      <c r="W69">
        <v>5.2082899700090675E-3</v>
      </c>
      <c r="X69">
        <v>189.785649376696</v>
      </c>
      <c r="Y69">
        <v>7.7285105022883645E-107</v>
      </c>
      <c r="Z69">
        <v>0.97809185223455941</v>
      </c>
      <c r="AA69">
        <v>0.9988255359660474</v>
      </c>
      <c r="AB69">
        <v>0.97809185223455941</v>
      </c>
      <c r="AC69">
        <v>0.9988255359660474</v>
      </c>
    </row>
    <row r="70" spans="1:29" x14ac:dyDescent="0.25">
      <c r="K70" t="s">
        <v>75</v>
      </c>
      <c r="L70">
        <v>-0.14305585428896478</v>
      </c>
      <c r="M70">
        <v>1.1405569868164541E-2</v>
      </c>
      <c r="N70">
        <v>-12.542631007703104</v>
      </c>
      <c r="O70">
        <v>1.3997887909705916E-20</v>
      </c>
      <c r="P70">
        <v>-0.16575366168216094</v>
      </c>
      <c r="Q70">
        <v>-0.12035804689576862</v>
      </c>
      <c r="R70">
        <v>-0.16575366168216094</v>
      </c>
      <c r="S70">
        <v>-0.12035804689576862</v>
      </c>
      <c r="U70" t="s">
        <v>75</v>
      </c>
      <c r="V70">
        <v>-0.14303059261671516</v>
      </c>
      <c r="W70">
        <v>1.147387881007279E-2</v>
      </c>
      <c r="X70">
        <v>-12.465757655654356</v>
      </c>
      <c r="Y70">
        <v>2.4078232373329932E-20</v>
      </c>
      <c r="Z70">
        <v>-0.16586877710637957</v>
      </c>
      <c r="AA70">
        <v>-0.12019240812705076</v>
      </c>
      <c r="AB70">
        <v>-0.16586877710637957</v>
      </c>
      <c r="AC70">
        <v>-0.12019240812705076</v>
      </c>
    </row>
    <row r="71" spans="1:29" ht="15.75" thickBot="1" x14ac:dyDescent="0.3">
      <c r="K71" s="8" t="s">
        <v>76</v>
      </c>
      <c r="L71" s="8">
        <v>1.5540919212386794E-2</v>
      </c>
      <c r="M71" s="8">
        <v>8.5781274305359589E-3</v>
      </c>
      <c r="N71" s="8">
        <v>1.8116913438549609</v>
      </c>
      <c r="O71" s="8">
        <v>7.378668638635906E-2</v>
      </c>
      <c r="P71" s="8">
        <v>-1.5300984099822206E-3</v>
      </c>
      <c r="Q71" s="8">
        <v>3.2611936834755807E-2</v>
      </c>
      <c r="R71" s="8">
        <v>-1.5300984099822206E-3</v>
      </c>
      <c r="S71" s="8">
        <v>3.2611936834755807E-2</v>
      </c>
      <c r="U71" t="s">
        <v>76</v>
      </c>
      <c r="V71">
        <v>1.6271493131254554E-2</v>
      </c>
      <c r="W71">
        <v>9.1555662379104782E-3</v>
      </c>
      <c r="X71">
        <v>1.7772241179228367</v>
      </c>
      <c r="Y71">
        <v>7.9380327551400509E-2</v>
      </c>
      <c r="Z71">
        <v>-1.9522056117702268E-3</v>
      </c>
      <c r="AA71">
        <v>3.4495191874279338E-2</v>
      </c>
      <c r="AB71">
        <v>-1.9522056117702268E-3</v>
      </c>
      <c r="AC71">
        <v>3.4495191874279338E-2</v>
      </c>
    </row>
    <row r="72" spans="1:29" ht="15.75" thickBot="1" x14ac:dyDescent="0.3">
      <c r="U72" s="8" t="s">
        <v>114</v>
      </c>
      <c r="V72" s="8">
        <v>1.0695863250060136E-3</v>
      </c>
      <c r="W72" s="8">
        <v>4.4796647505686458E-3</v>
      </c>
      <c r="X72" s="8">
        <v>0.23876481490500845</v>
      </c>
      <c r="Y72" s="8">
        <v>0.81190624868124084</v>
      </c>
      <c r="Z72" s="8">
        <v>-7.8469633195238433E-3</v>
      </c>
      <c r="AA72" s="8">
        <v>9.9861359695358719E-3</v>
      </c>
      <c r="AB72" s="8">
        <v>-7.8469633195238433E-3</v>
      </c>
      <c r="AC72" s="8">
        <v>9.9861359695358719E-3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EDC5F-5CF4-47C5-9149-9F7C0AC56078}">
  <dimension ref="A1"/>
  <sheetViews>
    <sheetView tabSelected="1" zoomScale="87" zoomScaleNormal="87" workbookViewId="0">
      <selection activeCell="AA28" sqref="AA28"/>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Fund 1</vt:lpstr>
      <vt:lpstr>Fund 2</vt:lpstr>
      <vt:lpstr>Fund3</vt:lpstr>
      <vt:lpstr>Fama-French Data</vt:lpstr>
      <vt:lpstr>MF Data </vt:lpstr>
      <vt:lpstr>Alphas+Ratios</vt:lpstr>
      <vt:lpstr>Stock Data</vt:lpstr>
      <vt:lpstr>MF Stocks</vt:lpstr>
      <vt:lpstr>Investment</vt:lpstr>
      <vt:lpstr>Sharpe+Treynor Ratio</vt:lpstr>
      <vt:lpstr>Alphas 1998-2013</vt:lpstr>
      <vt:lpstr>Alphas 1998-2006 </vt:lpstr>
      <vt:lpstr>Alphas 2007-2013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buckeye ohio</cp:lastModifiedBy>
  <dcterms:created xsi:type="dcterms:W3CDTF">2025-11-24T22:33:52Z</dcterms:created>
  <dcterms:modified xsi:type="dcterms:W3CDTF">2026-02-02T23:51:06Z</dcterms:modified>
</cp:coreProperties>
</file>